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7fb0ecb54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 2026" sheetId="1" r:id="Rfb7c6debff0d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dd/mm/yyyy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8FBFD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9d02c130c4fbb" /><Relationship Type="http://schemas.openxmlformats.org/officeDocument/2006/relationships/theme" Target="/xl/theme/theme1.xml" Id="Rd0c06425b5f04c33" /><Relationship Type="http://schemas.openxmlformats.org/officeDocument/2006/relationships/sharedStrings" Target="/xl/sharedStrings.xml" Id="R37fad807d4204c15" /><Relationship Type="http://schemas.openxmlformats.org/officeDocument/2006/relationships/worksheet" Target="/xl/worksheets/sheet1.xml" Id="Rfb7c6debff0d4726" /></Relationships>
</file>

<file path=xl/tables/table1.xml><?xml version="1.0" encoding="utf-8"?>
<x:table xmlns:x="http://schemas.openxmlformats.org/spreadsheetml/2006/main" id="1" name="ClientesDestinatarios2026" displayName="ClientesDestinatarios2026" ref="A11:M416" headerRowCount="1" totalsRowCount="0" totalsRowShown="0">
  <x:autoFilter ref="A11:M416"/>
  <x:tableColumns count="13">
    <x:tableColumn id="1" name="ID"/>
    <x:tableColumn id="2" name="Razão Social"/>
    <x:tableColumn id="3" name="CNPJ"/>
    <x:tableColumn id="4" name="Cidade"/>
    <x:tableColumn id="5" name="E-mail"/>
    <x:tableColumn id="6" name="Telefone fixo"/>
    <x:tableColumn id="7" name="Tipo no CT-e"/>
    <x:tableColumn id="8" name="Data cadastro"/>
    <x:tableColumn id="9" name="Primeiro CT-e sem frete"/>
    <x:tableColumn id="10" name="Contato — Nome"/>
    <x:tableColumn id="11" name="Contato — Setor"/>
    <x:tableColumn id="12" name="Contato — E-mail"/>
    <x:tableColumn id="13" name="Contato — Telef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cd98b6f7bc43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0" hidden="0" customWidth="1"/>
    <x:col min="4" max="4" width="20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24" hidden="0" customWidth="1"/>
    <x:col min="11" max="11" width="20" hidden="0" customWidth="1"/>
    <x:col min="12" max="12" width="32" hidden="0" customWidth="1"/>
    <x:col min="13" max="13" width="18" hidden="0" customWidth="1"/>
  </x:cols>
  <x:sheetData>
    <x:row r="1" ht="28" customHeight="1">
      <x:c r="A1" s="4" t="str">
        <x:v>Clientes destinatários sem frete — cadastros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 t="str">
        <x:v>Legado | ID do cliente &gt;= 32001 | CNPJ | UF SP | destinatário sem frete | somente leitura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4" t="str">
        <x:v>Resumo</x:v>
      </x:c>
      <x:c r="B4" s="14" t="str">
        <x:v>Valor</x:v>
      </x:c>
    </x:row>
    <x:row r="5">
      <x:c r="A5" s="15" t="str">
        <x:v>Registros após deduplicação</x:v>
      </x:c>
      <x:c r="B5" s="16" t="n">
        <x:v>405</x:v>
      </x:c>
    </x:row>
    <x:row r="6">
      <x:c r="A6" s="15" t="str">
        <x:v>Registros consultados</x:v>
      </x:c>
      <x:c r="B6" s="16" t="n">
        <x:v>428</x:v>
      </x:c>
    </x:row>
    <x:row r="7">
      <x:c r="A7" s="15" t="str">
        <x:v>Corte de cadastro</x:v>
      </x:c>
      <x:c r="B7" s="16" t="n">
        <x:v>32001</x:v>
      </x:c>
    </x:row>
    <x:row r="11">
      <x:c r="A11" s="22" t="str">
        <x:v>ID</x:v>
      </x:c>
      <x:c r="B11" s="22" t="str">
        <x:v>Razão Social</x:v>
      </x:c>
      <x:c r="C11" s="22" t="str">
        <x:v>CNPJ</x:v>
      </x:c>
      <x:c r="D11" s="22" t="str">
        <x:v>Cidade</x:v>
      </x:c>
      <x:c r="E11" s="22" t="str">
        <x:v>E-mail</x:v>
      </x:c>
      <x:c r="F11" s="22" t="str">
        <x:v>Telefone fixo</x:v>
      </x:c>
      <x:c r="G11" s="22" t="str">
        <x:v>Tipo no CT-e</x:v>
      </x:c>
      <x:c r="H11" s="22" t="str">
        <x:v>Data cadastro</x:v>
      </x:c>
      <x:c r="I11" s="22" t="str">
        <x:v>Primeiro CT-e sem frete</x:v>
      </x:c>
      <x:c r="J11" s="22" t="str">
        <x:v>Contato — Nome</x:v>
      </x:c>
      <x:c r="K11" s="22" t="str">
        <x:v>Contato — Setor</x:v>
      </x:c>
      <x:c r="L11" s="22" t="str">
        <x:v>Contato — E-mail</x:v>
      </x:c>
      <x:c r="M11" s="22" t="str">
        <x:v>Contato — Telefone</x:v>
      </x:c>
    </x:row>
    <x:row r="12">
      <x:c r="A12" s="27" t="n">
        <x:v>32004</x:v>
      </x:c>
      <x:c r="B12" s="23" t="str">
        <x:v>VCI DO BRASIL INDUSTRIA E COMERCIO DE COMPOSITOS LTDA.</x:v>
      </x:c>
      <x:c r="C12" s="25" t="str">
        <x:f>"19076738000160"</x:f>
        <x:v>19076738000160</x:v>
      </x:c>
      <x:c r="D12" s="23" t="str">
        <x:v>ITUPEVA</x:v>
      </x:c>
      <x:c r="E12" s="23" t="str">
        <x:v>comercial@compositesvci.com.br</x:v>
      </x:c>
      <x:c r="F12" s="23" t="str">
        <x:v>1149611600</x:v>
      </x:c>
      <x:c r="G12" s="28" t="str">
        <x:v>Destinatário</x:v>
      </x:c>
      <x:c r="H12" s="29" t="n">
        <x:v>46104</x:v>
      </x:c>
      <x:c r="I12" s="29" t="n">
        <x:v>46028</x:v>
      </x:c>
      <x:c r="J12" s="30" t="str"/>
      <x:c r="K12" s="30" t="str"/>
      <x:c r="L12" s="30" t="str"/>
      <x:c r="M12" s="30" t="str"/>
    </x:row>
    <x:row r="13">
      <x:c r="A13" s="27" t="n">
        <x:v>32007</x:v>
      </x:c>
      <x:c r="B13" s="23" t="str">
        <x:v>BAUMER S A</x:v>
      </x:c>
      <x:c r="C13" s="25" t="str">
        <x:f>"61374161000130"</x:f>
        <x:v>61374161000130</x:v>
      </x:c>
      <x:c r="D13" s="23" t="str">
        <x:v>MOGI MIRIM</x:v>
      </x:c>
      <x:c r="E13" s="23" t="str">
        <x:v>CLAUDIO@BAUMER.COM.BR</x:v>
      </x:c>
      <x:c r="F13" s="23" t="str">
        <x:v>1938057670</x:v>
      </x:c>
      <x:c r="G13" s="28" t="str">
        <x:v>Destinatário</x:v>
      </x:c>
      <x:c r="H13" s="29" t="n">
        <x:v>46136</x:v>
      </x:c>
      <x:c r="I13" s="29" t="n">
        <x:v>46029</x:v>
      </x:c>
      <x:c r="J13" s="30" t="str">
        <x:v>THIAGO</x:v>
      </x:c>
      <x:c r="K13" s="30" t="str">
        <x:v>COMERCIAL</x:v>
      </x:c>
      <x:c r="L13" s="30" t="str">
        <x:v>compras@baumer.com.br</x:v>
      </x:c>
      <x:c r="M13" s="30" t="str">
        <x:v>1938057670</x:v>
      </x:c>
    </x:row>
    <x:row r="14">
      <x:c r="A14" s="27" t="n">
        <x:v>32009</x:v>
      </x:c>
      <x:c r="B14" s="23" t="str">
        <x:v>CENTRO EDUCACIONAL MICHELIN LTDA</x:v>
      </x:c>
      <x:c r="C14" s="25" t="str">
        <x:f>"09381333000182"</x:f>
        <x:v>09381333000182</x:v>
      </x:c>
      <x:c r="D14" s="23" t="str">
        <x:v>SÃO JOSÉ DO RIO PRETO</x:v>
      </x:c>
      <x:c r="E14" s="23" t="str">
        <x:v>financeiro@uniterp.com.br</x:v>
      </x:c>
      <x:c r="F14" s="23" t="str"/>
      <x:c r="G14" s="28" t="str">
        <x:v>Destinatário</x:v>
      </x:c>
      <x:c r="H14" s="29" t="n">
        <x:v>46104</x:v>
      </x:c>
      <x:c r="I14" s="29" t="n">
        <x:v>46030</x:v>
      </x:c>
      <x:c r="J14" s="30" t="str"/>
      <x:c r="K14" s="30" t="str"/>
      <x:c r="L14" s="30" t="str"/>
      <x:c r="M14" s="30" t="str">
        <x:v>17991114995</x:v>
      </x:c>
    </x:row>
    <x:row r="15">
      <x:c r="A15" s="27" t="n">
        <x:v>32010</x:v>
      </x:c>
      <x:c r="B15" s="23" t="str">
        <x:v>MONT PREMIER EMPREENDIMENTO IMOBILIARIO SPE LTDA</x:v>
      </x:c>
      <x:c r="C15" s="25" t="str">
        <x:f>"43609442000142"</x:f>
        <x:v>43609442000142</x:v>
      </x:c>
      <x:c r="D15" s="23" t="str">
        <x:v>SÃO JOSÉ DO RIO PRETO</x:v>
      </x:c>
      <x:c r="E15" s="23" t="str">
        <x:v>legalizacao@logu.com.br</x:v>
      </x:c>
      <x:c r="F15" s="23" t="str">
        <x:v>1730338005</x:v>
      </x:c>
      <x:c r="G15" s="28" t="str">
        <x:v>Destinatário</x:v>
      </x:c>
      <x:c r="H15" s="29" t="n">
        <x:v>46162</x:v>
      </x:c>
      <x:c r="I15" s="29" t="n">
        <x:v>46030</x:v>
      </x:c>
      <x:c r="J15" s="30" t="str">
        <x:v>SILVANA</x:v>
      </x:c>
      <x:c r="K15" s="30" t="str">
        <x:v>COMERCIAL</x:v>
      </x:c>
      <x:c r="L15" s="30" t="str">
        <x:v>premierriopreto@gmail.com</x:v>
      </x:c>
      <x:c r="M15" s="30" t="str">
        <x:v>17991879517
17992617000</x:v>
      </x:c>
    </x:row>
    <x:row r="16">
      <x:c r="A16" s="27" t="n">
        <x:v>32011</x:v>
      </x:c>
      <x:c r="B16" s="23" t="str">
        <x:v>LABCENTRO - ANALISES EM ALIMENTOS E AMBIENTAL LTDA</x:v>
      </x:c>
      <x:c r="C16" s="25" t="str">
        <x:f>"03883103000135"</x:f>
        <x:v>03883103000135</x:v>
      </x:c>
      <x:c r="D16" s="23" t="str">
        <x:v>VOTUPORANGA</x:v>
      </x:c>
      <x:c r="E16" s="23" t="str">
        <x:v>coletas@labcentro.com.br</x:v>
      </x:c>
      <x:c r="F16" s="23" t="str">
        <x:v>1734228900</x:v>
      </x:c>
      <x:c r="G16" s="28" t="str">
        <x:v>Destinatário</x:v>
      </x:c>
      <x:c r="H16" s="29" t="n">
        <x:v>46149</x:v>
      </x:c>
      <x:c r="I16" s="29" t="n">
        <x:v>46079</x:v>
      </x:c>
      <x:c r="J16" s="30" t="str">
        <x:v>GABRIELA</x:v>
      </x:c>
      <x:c r="K16" s="30" t="str">
        <x:v>LOGISTICA</x:v>
      </x:c>
      <x:c r="L16" s="30" t="str">
        <x:v>coletas@labcentro.com.br</x:v>
      </x:c>
      <x:c r="M16" s="30" t="str">
        <x:v>1734228900</x:v>
      </x:c>
    </x:row>
    <x:row r="17">
      <x:c r="A17" s="27" t="n">
        <x:v>32012</x:v>
      </x:c>
      <x:c r="B17" s="23" t="str">
        <x:v>SP SERVICOS E REFRIGERACAO LTDA</x:v>
      </x:c>
      <x:c r="C17" s="25" t="str">
        <x:f>"36334122000161"</x:f>
        <x:v>36334122000161</x:v>
      </x:c>
      <x:c r="D17" s="23" t="str">
        <x:v>LIMEIRA</x:v>
      </x:c>
      <x:c r="E17" s="23" t="str">
        <x:v>spservicos@qualitermeservicos.com.br</x:v>
      </x:c>
      <x:c r="F17" s="23" t="str">
        <x:v>1934410954</x:v>
      </x:c>
      <x:c r="G17" s="28" t="str">
        <x:v>Destinatário</x:v>
      </x:c>
      <x:c r="H17" s="29" t="n">
        <x:v>46134</x:v>
      </x:c>
      <x:c r="I17" s="29" t="n">
        <x:v>46030</x:v>
      </x:c>
      <x:c r="J17" s="30" t="str"/>
      <x:c r="K17" s="30" t="str"/>
      <x:c r="L17" s="30" t="str"/>
      <x:c r="M17" s="30" t="str"/>
    </x:row>
    <x:row r="18">
      <x:c r="A18" s="27" t="n">
        <x:v>32013</x:v>
      </x:c>
      <x:c r="B18" s="23" t="str">
        <x:v>JT INSTRUMENTACAO E PROCESSOS INDUSTRIAIS LTDA</x:v>
      </x:c>
      <x:c r="C18" s="25" t="str">
        <x:f>"14400275000127"</x:f>
        <x:v>14400275000127</x:v>
      </x:c>
      <x:c r="D18" s="23" t="str">
        <x:v>JUNDIAÍ</x:v>
      </x:c>
      <x:c r="E18" s="23" t="str">
        <x:v>atendimento@jundtecnico.com.br</x:v>
      </x:c>
      <x:c r="F18" s="23" t="str">
        <x:v>1169044335</x:v>
      </x:c>
      <x:c r="G18" s="28" t="str">
        <x:v>Destinatário</x:v>
      </x:c>
      <x:c r="H18" s="29" t="n">
        <x:v>46142</x:v>
      </x:c>
      <x:c r="I18" s="29" t="n">
        <x:v>46030</x:v>
      </x:c>
      <x:c r="J18" s="30" t="str">
        <x:v>YAGO</x:v>
      </x:c>
      <x:c r="K18" s="30" t="str">
        <x:v>LOGISTICA</x:v>
      </x:c>
      <x:c r="L18" s="30" t="str">
        <x:v>yago.martins@jtip.com.br</x:v>
      </x:c>
      <x:c r="M18" s="30" t="str">
        <x:v>11963611819</x:v>
      </x:c>
    </x:row>
    <x:row r="19">
      <x:c r="A19" s="27" t="n">
        <x:v>32016</x:v>
      </x:c>
      <x:c r="B19" s="23" t="str">
        <x:v>PROSPER KF7 COMERCIO DE TINTAS LTDA</x:v>
      </x:c>
      <x:c r="C19" s="25" t="str">
        <x:f>"49291122000173"</x:f>
        <x:v>49291122000173</x:v>
      </x:c>
      <x:c r="D19" s="23" t="str">
        <x:v>SÃO PAULO</x:v>
      </x:c>
      <x:c r="E19" s="23" t="str">
        <x:v>freguesiadoo.adm@tintasmc.com.br</x:v>
      </x:c>
      <x:c r="F19" s="23" t="str">
        <x:v>11984989939</x:v>
      </x:c>
      <x:c r="G19" s="28" t="str">
        <x:v>Destinatário</x:v>
      </x:c>
      <x:c r="H19" s="29" t="n">
        <x:v>46135</x:v>
      </x:c>
      <x:c r="I19" s="29" t="n">
        <x:v>46030</x:v>
      </x:c>
      <x:c r="J19" s="30" t="str">
        <x:v>ALEX</x:v>
      </x:c>
      <x:c r="K19" s="30" t="str">
        <x:v>COMERCIAL</x:v>
      </x:c>
      <x:c r="L19" s="30" t="str">
        <x:v>freguesiadoo.vendas1@tintasmc.com.br</x:v>
      </x:c>
      <x:c r="M19" s="30" t="str">
        <x:v>11984989939</x:v>
      </x:c>
    </x:row>
    <x:row r="20">
      <x:c r="A20" s="27" t="n">
        <x:v>32018</x:v>
      </x:c>
      <x:c r="B20" s="23" t="str">
        <x:v>TAMANDARE TINTAS DE INDAIATUBA LTDA</x:v>
      </x:c>
      <x:c r="C20" s="25" t="str">
        <x:f>"03827168000678"</x:f>
        <x:v>03827168000678</x:v>
      </x:c>
      <x:c r="D20" s="23" t="str">
        <x:v>SALTO</x:v>
      </x:c>
      <x:c r="E20" s="23" t="str">
        <x:v>ALMYR@TAMANDARETINTAS.COM.BR</x:v>
      </x:c>
      <x:c r="F20" s="23" t="str">
        <x:v>1140291395</x:v>
      </x:c>
      <x:c r="G20" s="28" t="str">
        <x:v>Destinatário</x:v>
      </x:c>
      <x:c r="H20" s="29" t="n">
        <x:v>46149</x:v>
      </x:c>
      <x:c r="I20" s="29" t="n">
        <x:v>46031</x:v>
      </x:c>
      <x:c r="J20" s="30" t="str">
        <x:v>FERNANDO</x:v>
      </x:c>
      <x:c r="K20" s="30" t="str">
        <x:v>COMERCIAL</x:v>
      </x:c>
      <x:c r="L20" s="30" t="str">
        <x:v>loja3@tamandaretintas.com.br</x:v>
      </x:c>
      <x:c r="M20" s="30" t="str">
        <x:v>19993294193
1938946112</x:v>
      </x:c>
    </x:row>
    <x:row r="21">
      <x:c r="A21" s="27" t="n">
        <x:v>32019</x:v>
      </x:c>
      <x:c r="B21" s="23" t="str">
        <x:v>ARAUCARIA COMERCIO E DISTRIBUICAO LTDA</x:v>
      </x:c>
      <x:c r="C21" s="25" t="str">
        <x:f>"49420778000149"</x:f>
        <x:v>49420778000149</x:v>
      </x:c>
      <x:c r="D21" s="23" t="str">
        <x:v>COSMÓPOLIS</x:v>
      </x:c>
      <x:c r="E21" s="23" t="str">
        <x:v>MADEIRAS.ARAUCARIA@GMAIL.COM</x:v>
      </x:c>
      <x:c r="F21" s="23" t="str">
        <x:v>1992897825</x:v>
      </x:c>
      <x:c r="G21" s="28" t="str">
        <x:v>Destinatário</x:v>
      </x:c>
      <x:c r="H21" s="29" t="n">
        <x:v>46134</x:v>
      </x:c>
      <x:c r="I21" s="29" t="n">
        <x:v>46031</x:v>
      </x:c>
      <x:c r="J21" s="30" t="str">
        <x:v>DANIELA</x:v>
      </x:c>
      <x:c r="K21" s="30" t="str">
        <x:v>COMERCIAL</x:v>
      </x:c>
      <x:c r="L21" s="30" t="str">
        <x:v>madeirasfort@gmail.com</x:v>
      </x:c>
      <x:c r="M21" s="30" t="str">
        <x:v>1938724303</x:v>
      </x:c>
    </x:row>
    <x:row r="22">
      <x:c r="A22" s="27" t="n">
        <x:v>32021</x:v>
      </x:c>
      <x:c r="B22" s="23" t="str">
        <x:v>51.430.573 MARIA IZABEL VITORIA DA SILVA</x:v>
      </x:c>
      <x:c r="C22" s="25" t="str">
        <x:f>"51430573000196"</x:f>
        <x:v>51430573000196</x:v>
      </x:c>
      <x:c r="D22" s="23" t="str">
        <x:v>BATATAIS</x:v>
      </x:c>
      <x:c r="E22" s="23" t="str">
        <x:v>IZTINTAS@OUTLOOK.COM</x:v>
      </x:c>
      <x:c r="F22" s="23" t="str">
        <x:v>1639030511</x:v>
      </x:c>
      <x:c r="G22" s="28" t="str">
        <x:v>Destinatário</x:v>
      </x:c>
      <x:c r="H22" s="29" t="n">
        <x:v>46134</x:v>
      </x:c>
      <x:c r="I22" s="29" t="n">
        <x:v>46031</x:v>
      </x:c>
      <x:c r="J22" s="30" t="str"/>
      <x:c r="K22" s="30" t="str"/>
      <x:c r="L22" s="30" t="str"/>
      <x:c r="M22" s="30" t="str"/>
    </x:row>
    <x:row r="23">
      <x:c r="A23" s="27" t="n">
        <x:v>32022</x:v>
      </x:c>
      <x:c r="B23" s="23" t="str">
        <x:v>62.644.758 EMERSON APARECIDO CRUZ</x:v>
      </x:c>
      <x:c r="C23" s="25" t="str">
        <x:f>"62644758000110"</x:f>
        <x:v>62644758000110</x:v>
      </x:c>
      <x:c r="D23" s="23" t="str">
        <x:v>LINS</x:v>
      </x:c>
      <x:c r="E23" s="23" t="str">
        <x:v>EMERSON.RESGATE04@GMAIL.COM</x:v>
      </x:c>
      <x:c r="F23" s="23" t="str">
        <x:v>14997315551</x:v>
      </x:c>
      <x:c r="G23" s="28" t="str">
        <x:v>Destinatário</x:v>
      </x:c>
      <x:c r="H23" s="29" t="n">
        <x:v>46104</x:v>
      </x:c>
      <x:c r="I23" s="29" t="n">
        <x:v>46031</x:v>
      </x:c>
      <x:c r="J23" s="30" t="str"/>
      <x:c r="K23" s="30" t="str"/>
      <x:c r="L23" s="30" t="str"/>
      <x:c r="M23" s="30" t="str">
        <x:v>14997315551</x:v>
      </x:c>
    </x:row>
    <x:row r="24">
      <x:c r="A24" s="27" t="n">
        <x:v>32023</x:v>
      </x:c>
      <x:c r="B24" s="23" t="str">
        <x:v>FABIO JOSE SILVESTRINI TINTAS</x:v>
      </x:c>
      <x:c r="C24" s="25" t="str">
        <x:f>"08030739000158"</x:f>
        <x:v>08030739000158</x:v>
      </x:c>
      <x:c r="D24" s="23" t="str">
        <x:v>MARÍLIA</x:v>
      </x:c>
      <x:c r="E24" s="23" t="str">
        <x:v>SBTINTAS.MARILIA@GMAIL.COM</x:v>
      </x:c>
      <x:c r="F24" s="23" t="str">
        <x:v>14998753985</x:v>
      </x:c>
      <x:c r="G24" s="28" t="str">
        <x:v>Destinatário</x:v>
      </x:c>
      <x:c r="H24" s="29" t="n">
        <x:v>46134</x:v>
      </x:c>
      <x:c r="I24" s="29" t="n">
        <x:v>46031</x:v>
      </x:c>
      <x:c r="J24" s="30" t="str">
        <x:v>FABIO</x:v>
      </x:c>
      <x:c r="K24" s="30" t="str">
        <x:v>COMPRAS</x:v>
      </x:c>
      <x:c r="L24" s="30" t="str">
        <x:v>SBTINTAS.MARILIA@GMAIL.COM</x:v>
      </x:c>
      <x:c r="M24" s="30" t="str">
        <x:v>1434136137</x:v>
      </x:c>
    </x:row>
    <x:row r="25">
      <x:c r="A25" s="27" t="n">
        <x:v>32024</x:v>
      </x:c>
      <x:c r="B25" s="23" t="str">
        <x:v>MONT VILLERREAL EMPREENDIMENTO IMOBILIARIO SPE LTDA</x:v>
      </x:c>
      <x:c r="C25" s="25" t="str">
        <x:f>"43530859000115"</x:f>
        <x:v>43530859000115</x:v>
      </x:c>
      <x:c r="D25" s="23" t="str">
        <x:v>SÃO JOSÉ DO RIO PRETO</x:v>
      </x:c>
      <x:c r="E25" s="23" t="str">
        <x:v>legalizacao@logu.com.br</x:v>
      </x:c>
      <x:c r="F25" s="23" t="str">
        <x:v>17991879517</x:v>
      </x:c>
      <x:c r="G25" s="28" t="str">
        <x:v>Destinatário</x:v>
      </x:c>
      <x:c r="H25" s="29" t="n">
        <x:v>46104</x:v>
      </x:c>
      <x:c r="I25" s="29" t="n">
        <x:v>46032</x:v>
      </x:c>
      <x:c r="J25" s="30" t="str"/>
      <x:c r="K25" s="30" t="str"/>
      <x:c r="L25" s="30" t="str"/>
      <x:c r="M25" s="30" t="str"/>
    </x:row>
    <x:row r="26">
      <x:c r="A26" s="27" t="n">
        <x:v>32026</x:v>
      </x:c>
      <x:c r="B26" s="23" t="str">
        <x:v>BOLA DE NEVE COMERCIO DE ENFEITES LTDA</x:v>
      </x:c>
      <x:c r="C26" s="25" t="str">
        <x:f>"56130126000135"</x:f>
        <x:v>56130126000135</x:v>
      </x:c>
      <x:c r="D26" s="23" t="str">
        <x:v>SÃO PAULO</x:v>
      </x:c>
      <x:c r="E26" s="23" t="str">
        <x:v>atendimento@cclscontabilidade.com.br</x:v>
      </x:c>
      <x:c r="F26" s="23" t="str">
        <x:v>11986817741</x:v>
      </x:c>
      <x:c r="G26" s="28" t="str">
        <x:v>Destinatário</x:v>
      </x:c>
      <x:c r="H26" s="29" t="n">
        <x:v>46134</x:v>
      </x:c>
      <x:c r="I26" s="29" t="n">
        <x:v>46035</x:v>
      </x:c>
      <x:c r="J26" s="30" t="str">
        <x:v>QUEZIA</x:v>
      </x:c>
      <x:c r="K26" s="30" t="str">
        <x:v>ADMINISTRATIVO - NEGOCIA FRETE</x:v>
      </x:c>
      <x:c r="L26" s="30" t="str">
        <x:v>atendimento@cclscontabilidade.com.br</x:v>
      </x:c>
      <x:c r="M26" s="30" t="str">
        <x:v>11964519389</x:v>
      </x:c>
    </x:row>
    <x:row r="27">
      <x:c r="A27" s="27" t="n">
        <x:v>32027</x:v>
      </x:c>
      <x:c r="B27" s="23" t="str">
        <x:v>SILVIO CEZAR MORAZUTTI MATERIAIS ELETRICOS</x:v>
      </x:c>
      <x:c r="C27" s="25" t="str">
        <x:f>"33273017000171"</x:f>
        <x:v>33273017000171</x:v>
      </x:c>
      <x:c r="D27" s="23" t="str">
        <x:v>TANABI</x:v>
      </x:c>
      <x:c r="E27" s="23" t="str">
        <x:v>MORAZUTTI5@GMAIL.COM</x:v>
      </x:c>
      <x:c r="F27" s="23" t="str">
        <x:v>17981545200</x:v>
      </x:c>
      <x:c r="G27" s="28" t="str">
        <x:v>Destinatário</x:v>
      </x:c>
      <x:c r="H27" s="29" t="n">
        <x:v>46134</x:v>
      </x:c>
      <x:c r="I27" s="29" t="n">
        <x:v>46035</x:v>
      </x:c>
      <x:c r="J27" s="30" t="str">
        <x:v>SILVIO</x:v>
      </x:c>
      <x:c r="K27" s="30" t="str">
        <x:v>ADMINISTRATIVO - NEGOCIA FRETE</x:v>
      </x:c>
      <x:c r="L27" s="30" t="str">
        <x:v>energiatanabi@gmail.com</x:v>
      </x:c>
      <x:c r="M27" s="30" t="str">
        <x:v>17981545200</x:v>
      </x:c>
    </x:row>
    <x:row r="28">
      <x:c r="A28" s="27" t="n">
        <x:v>32029</x:v>
      </x:c>
      <x:c r="B28" s="23" t="str">
        <x:v>COMISSAO DOS ADQUIRENTES DO CONDOMINIO SMART DOM PEDRO</x:v>
      </x:c>
      <x:c r="C28" s="25" t="str">
        <x:f>"61642051000101"</x:f>
        <x:v>61642051000101</x:v>
      </x:c>
      <x:c r="D28" s="23" t="str">
        <x:v>ARARAQUARA</x:v>
      </x:c>
      <x:c r="E28" s="23" t="str">
        <x:v>comissaosmartdompedro@gmail.com</x:v>
      </x:c>
      <x:c r="F28" s="23" t="str">
        <x:v>16981040112</x:v>
      </x:c>
      <x:c r="G28" s="28" t="str">
        <x:v>Destinatário</x:v>
      </x:c>
      <x:c r="H28" s="29" t="n">
        <x:v>46132</x:v>
      </x:c>
      <x:c r="I28" s="29" t="n">
        <x:v>46035</x:v>
      </x:c>
      <x:c r="J28" s="30" t="str">
        <x:v>JULIO</x:v>
      </x:c>
      <x:c r="K28" s="30" t="str">
        <x:v>ADMINISTRATIVO - NEGOCIA FRETE</x:v>
      </x:c>
      <x:c r="L28" s="30" t="str">
        <x:v>comissaosmartdompedro@gmail.com</x:v>
      </x:c>
      <x:c r="M28" s="30" t="str">
        <x:v>16981040112
16997129753</x:v>
      </x:c>
    </x:row>
    <x:row r="29">
      <x:c r="A29" s="27" t="n">
        <x:v>32032</x:v>
      </x:c>
      <x:c r="B29" s="23" t="str">
        <x:v>ELFUSA GERAL DE ELETROFUSAO LTDA</x:v>
      </x:c>
      <x:c r="C29" s="25" t="str">
        <x:f>"59752048000107"</x:f>
        <x:v>59752048000107</x:v>
      </x:c>
      <x:c r="D29" s="23" t="str">
        <x:v>SÃO JOÃO DA BOA VISTA</x:v>
      </x:c>
      <x:c r="E29" s="23" t="str">
        <x:v>tales.justiniano@grupocurimbaba.com.br</x:v>
      </x:c>
      <x:c r="F29" s="23" t="str">
        <x:v>1936342300</x:v>
      </x:c>
      <x:c r="G29" s="28" t="str">
        <x:v>Destinatário</x:v>
      </x:c>
      <x:c r="H29" s="29" t="n">
        <x:v>46129</x:v>
      </x:c>
      <x:c r="I29" s="29" t="n">
        <x:v>46037</x:v>
      </x:c>
      <x:c r="J29" s="30" t="str">
        <x:v>TALES</x:v>
      </x:c>
      <x:c r="K29" s="30" t="str">
        <x:v>LOGISTICA</x:v>
      </x:c>
      <x:c r="L29" s="30" t="str">
        <x:v>tales.justiniano@grupocurimbaba.com.br</x:v>
      </x:c>
      <x:c r="M29" s="30" t="str">
        <x:v>1936342300</x:v>
      </x:c>
    </x:row>
    <x:row r="30">
      <x:c r="A30" s="27" t="n">
        <x:v>32033</x:v>
      </x:c>
      <x:c r="B30" s="23" t="str">
        <x:v>MIYUMA ELETRONICA COMERCIO E SERVICOS PLASTICOS LTDA</x:v>
      </x:c>
      <x:c r="C30" s="25" t="str">
        <x:f>"61580998000135"</x:f>
        <x:v>61580998000135</x:v>
      </x:c>
      <x:c r="D30" s="23" t="str">
        <x:v>SÃO PAULO</x:v>
      </x:c>
      <x:c r="E30" s="23" t="str">
        <x:v>miyuma564@gmail.com</x:v>
      </x:c>
      <x:c r="F30" s="23" t="str">
        <x:v>1149394349</x:v>
      </x:c>
      <x:c r="G30" s="28" t="str">
        <x:v>Destinatário</x:v>
      </x:c>
      <x:c r="H30" s="29" t="n">
        <x:v>46129</x:v>
      </x:c>
      <x:c r="I30" s="29" t="n">
        <x:v>46036</x:v>
      </x:c>
      <x:c r="J30" s="30" t="str">
        <x:v>VANIA</x:v>
      </x:c>
      <x:c r="K30" s="30" t="str">
        <x:v>ADMINISTRATIVO - NEGOCIA FRETE</x:v>
      </x:c>
      <x:c r="L30" s="30" t="str">
        <x:v>miyuma564@gmail.com</x:v>
      </x:c>
      <x:c r="M30" s="30" t="str">
        <x:v>1149394349</x:v>
      </x:c>
    </x:row>
    <x:row r="31">
      <x:c r="A31" s="27" t="n">
        <x:v>32034</x:v>
      </x:c>
      <x:c r="B31" s="23" t="str">
        <x:v>BIOCOLLAGEN LTDA</x:v>
      </x:c>
      <x:c r="C31" s="25" t="str">
        <x:f>"28036074000105"</x:f>
        <x:v>28036074000105</x:v>
      </x:c>
      <x:c r="D31" s="23" t="str">
        <x:v>SÃO JOSÉ DO RIO PRETO</x:v>
      </x:c>
      <x:c r="E31" s="23" t="str">
        <x:v>contato@biocollagen.com.br</x:v>
      </x:c>
      <x:c r="F31" s="23" t="str">
        <x:v>1736008773</x:v>
      </x:c>
      <x:c r="G31" s="28" t="str">
        <x:v>Destinatário</x:v>
      </x:c>
      <x:c r="H31" s="29" t="n">
        <x:v>46129</x:v>
      </x:c>
      <x:c r="I31" s="29" t="n">
        <x:v>46038</x:v>
      </x:c>
      <x:c r="J31" s="30" t="str">
        <x:v>GUILHERME</x:v>
      </x:c>
      <x:c r="K31" s="30" t="str">
        <x:v>ADMINISTRATIVO - NEGOCIA FRETE</x:v>
      </x:c>
      <x:c r="L31" s="30" t="str">
        <x:v>contato@biocollagen.com.br</x:v>
      </x:c>
      <x:c r="M31" s="30" t="str">
        <x:v>1736008773</x:v>
      </x:c>
    </x:row>
    <x:row r="32">
      <x:c r="A32" s="27" t="n">
        <x:v>32040</x:v>
      </x:c>
      <x:c r="B32" s="23" t="str">
        <x:v>M7 PROMOCAO DE VENDAS LTDA</x:v>
      </x:c>
      <x:c r="C32" s="25" t="str">
        <x:f>"53256671000184"</x:f>
        <x:v>53256671000184</x:v>
      </x:c>
      <x:c r="D32" s="23" t="str">
        <x:v>CAMPINAS</x:v>
      </x:c>
      <x:c r="E32" s="23" t="str">
        <x:v>MARCHEJUNIOR@GMAIL.COM</x:v>
      </x:c>
      <x:c r="F32" s="23" t="str">
        <x:v>19989942776</x:v>
      </x:c>
      <x:c r="G32" s="28" t="str">
        <x:v>Destinatário</x:v>
      </x:c>
      <x:c r="H32" s="29" t="n">
        <x:v>46129</x:v>
      </x:c>
      <x:c r="I32" s="29" t="n">
        <x:v>46037</x:v>
      </x:c>
      <x:c r="J32" s="30" t="str">
        <x:v>JUNIOR</x:v>
      </x:c>
      <x:c r="K32" s="30" t="str">
        <x:v>COMERCIAL</x:v>
      </x:c>
      <x:c r="L32" s="30" t="str">
        <x:v>MARCHEJUNIOR@GMAIL.COM</x:v>
      </x:c>
      <x:c r="M32" s="30" t="str">
        <x:v>19989942776</x:v>
      </x:c>
    </x:row>
    <x:row r="33">
      <x:c r="A33" s="27" t="n">
        <x:v>32052</x:v>
      </x:c>
      <x:c r="B33" s="23" t="str">
        <x:v>A YOSHII ENGENHARIA E CONSTRUCOES LTDA</x:v>
      </x:c>
      <x:c r="C33" s="25" t="str">
        <x:f>"78016003004106"</x:f>
        <x:v>78016003004106</x:v>
      </x:c>
      <x:c r="D33" s="23" t="str">
        <x:v>CAMPINAS</x:v>
      </x:c>
      <x:c r="E33" s="23" t="str">
        <x:v>AKIRA@AYOSHII.COM.BR</x:v>
      </x:c>
      <x:c r="F33" s="23" t="str">
        <x:v>4384184619</x:v>
      </x:c>
      <x:c r="G33" s="28" t="str">
        <x:v>Destinatário</x:v>
      </x:c>
      <x:c r="H33" s="29" t="n">
        <x:v>46132</x:v>
      </x:c>
      <x:c r="I33" s="29" t="n">
        <x:v>46041</x:v>
      </x:c>
      <x:c r="J33" s="30" t="str">
        <x:v>AKIRA</x:v>
      </x:c>
      <x:c r="K33" s="30" t="str">
        <x:v>COMERCIAL</x:v>
      </x:c>
      <x:c r="L33" s="30" t="str">
        <x:v>AKIRA@AYOSHII.COM.BR</x:v>
      </x:c>
      <x:c r="M33" s="30" t="str">
        <x:v>4384184619</x:v>
      </x:c>
    </x:row>
    <x:row r="34">
      <x:c r="A34" s="27" t="n">
        <x:v>32060</x:v>
      </x:c>
      <x:c r="B34" s="23" t="str">
        <x:v>PARQUE VIDA SPE LTDA</x:v>
      </x:c>
      <x:c r="C34" s="25" t="str">
        <x:f>"46778010000153"</x:f>
        <x:v>46778010000153</x:v>
      </x:c>
      <x:c r="D34" s="23" t="str">
        <x:v>SOROCABA</x:v>
      </x:c>
      <x:c r="E34" s="23" t="str">
        <x:v>naoinformado@naoinformado.ni</x:v>
      </x:c>
      <x:c r="F34" s="23" t="str">
        <x:v>1533329696</x:v>
      </x:c>
      <x:c r="G34" s="28" t="str">
        <x:v>Destinatário</x:v>
      </x:c>
      <x:c r="H34" s="29" t="n">
        <x:v>46132</x:v>
      </x:c>
      <x:c r="I34" s="29" t="n">
        <x:v>46042</x:v>
      </x:c>
      <x:c r="J34" s="30" t="str">
        <x:v>REBECA</x:v>
      </x:c>
      <x:c r="K34" s="30" t="str">
        <x:v>ADMINISTRATIVO - NEGOCIA FRETE</x:v>
      </x:c>
      <x:c r="L34" s="30" t="str">
        <x:v>Rebeca.goncalvez@construtoraplaneta.com.br</x:v>
      </x:c>
      <x:c r="M34" s="30" t="str">
        <x:v>1533329696</x:v>
      </x:c>
    </x:row>
    <x:row r="35">
      <x:c r="A35" s="27" t="n">
        <x:v>32061</x:v>
      </x:c>
      <x:c r="B35" s="23" t="str">
        <x:v>57.366.958 ALEXANDRE SIQUEIRA LIMA</x:v>
      </x:c>
      <x:c r="C35" s="25" t="str">
        <x:f>"57366958000118"</x:f>
        <x:v>57366958000118</x:v>
      </x:c>
      <x:c r="D35" s="23" t="str">
        <x:v>MARÍLIA</x:v>
      </x:c>
      <x:c r="E35" s="23" t="str">
        <x:v>PAULO.PAUMAR@HOTMAIL.COM</x:v>
      </x:c>
      <x:c r="F35" s="23" t="str">
        <x:v>1498701435</x:v>
      </x:c>
      <x:c r="G35" s="28" t="str">
        <x:v>Destinatário</x:v>
      </x:c>
      <x:c r="H35" s="29" t="n">
        <x:v>46132</x:v>
      </x:c>
      <x:c r="I35" s="29" t="n">
        <x:v>46042</x:v>
      </x:c>
      <x:c r="J35" s="30" t="str">
        <x:v>PAULO</x:v>
      </x:c>
      <x:c r="K35" s="30" t="str">
        <x:v>COMERCIAL</x:v>
      </x:c>
      <x:c r="L35" s="30" t="str">
        <x:v>PAULO.PAUMAR@HOTMAIL.COM</x:v>
      </x:c>
      <x:c r="M35" s="30" t="str">
        <x:v>1498701435</x:v>
      </x:c>
    </x:row>
    <x:row r="36">
      <x:c r="A36" s="27" t="n">
        <x:v>32064</x:v>
      </x:c>
      <x:c r="B36" s="23" t="str">
        <x:v>MLC AFIADORA E RETIFICA DE FACAS LTDA</x:v>
      </x:c>
      <x:c r="C36" s="25" t="str">
        <x:f>"08354051000123"</x:f>
        <x:v>08354051000123</x:v>
      </x:c>
      <x:c r="D36" s="23" t="str">
        <x:v>VOTORANTIM</x:v>
      </x:c>
      <x:c r="E36" s="23" t="str">
        <x:v>mlcfiadora@hotmail.com</x:v>
      </x:c>
      <x:c r="F36" s="23" t="str">
        <x:v>1532323476</x:v>
      </x:c>
      <x:c r="G36" s="28" t="str">
        <x:v>Destinatário</x:v>
      </x:c>
      <x:c r="H36" s="29" t="n">
        <x:v>46106</x:v>
      </x:c>
      <x:c r="I36" s="29" t="n">
        <x:v>46044</x:v>
      </x:c>
      <x:c r="J36" s="30" t="str">
        <x:v>MARCEL</x:v>
      </x:c>
      <x:c r="K36" s="30" t="str">
        <x:v>COMERCIAL</x:v>
      </x:c>
      <x:c r="L36" s="30" t="str">
        <x:v>marcelfacas@gmail.com</x:v>
      </x:c>
      <x:c r="M36" s="30" t="str">
        <x:v>15997810746</x:v>
      </x:c>
    </x:row>
    <x:row r="37">
      <x:c r="A37" s="27" t="n">
        <x:v>32070</x:v>
      </x:c>
      <x:c r="B37" s="23" t="str">
        <x:v>MCAMARGO COM E SERVICOS LTDA</x:v>
      </x:c>
      <x:c r="C37" s="25" t="str">
        <x:f>"31037596000128"</x:f>
        <x:v>31037596000128</x:v>
      </x:c>
      <x:c r="D37" s="23" t="str">
        <x:v>BATATAIS</x:v>
      </x:c>
      <x:c r="E37" s="23" t="str">
        <x:v>MCAMARGOPINTURAS7@GMAIL.COM</x:v>
      </x:c>
      <x:c r="F37" s="23" t="str">
        <x:v>1692143303</x:v>
      </x:c>
      <x:c r="G37" s="28" t="str">
        <x:v>Destinatário</x:v>
      </x:c>
      <x:c r="H37" s="29" t="n">
        <x:v>46132</x:v>
      </x:c>
      <x:c r="I37" s="29" t="n">
        <x:v>46044</x:v>
      </x:c>
      <x:c r="J37" s="30" t="str">
        <x:v>MCAMARGO</x:v>
      </x:c>
      <x:c r="K37" s="30" t="str">
        <x:v>COMERCIAL</x:v>
      </x:c>
      <x:c r="L37" s="30" t="str">
        <x:v>MCAMARGOPINTURAS7@GMAIL.COM</x:v>
      </x:c>
      <x:c r="M37" s="30" t="str">
        <x:v>1692143303</x:v>
      </x:c>
    </x:row>
    <x:row r="38">
      <x:c r="A38" s="27" t="n">
        <x:v>32071</x:v>
      </x:c>
      <x:c r="B38" s="23" t="str">
        <x:v>INCORPORADORA MF JARDIM DAS ROSAS SPE LTDA</x:v>
      </x:c>
      <x:c r="C38" s="25" t="str">
        <x:f>"57391290000169"</x:f>
        <x:v>57391290000169</x:v>
      </x:c>
      <x:c r="D38" s="23" t="str">
        <x:v>MARÍLIA</x:v>
      </x:c>
      <x:c r="E38" s="23" t="str">
        <x:v>ti@ti.com.br</x:v>
      </x:c>
      <x:c r="F38" s="23" t="str">
        <x:v>1497307525</x:v>
      </x:c>
      <x:c r="G38" s="28" t="str">
        <x:v>Destinatário</x:v>
      </x:c>
      <x:c r="H38" s="29" t="n">
        <x:v>46132</x:v>
      </x:c>
      <x:c r="I38" s="29" t="n">
        <x:v>46044</x:v>
      </x:c>
      <x:c r="J38" s="30" t="str">
        <x:v>MF</x:v>
      </x:c>
      <x:c r="K38" s="30" t="str">
        <x:v>COMERCIAL</x:v>
      </x:c>
      <x:c r="L38" s="30" t="str">
        <x:v>menin@menin.com.br</x:v>
      </x:c>
      <x:c r="M38" s="30" t="str">
        <x:v>1434021111</x:v>
      </x:c>
    </x:row>
    <x:row r="39">
      <x:c r="A39" s="27" t="n">
        <x:v>32072</x:v>
      </x:c>
      <x:c r="B39" s="23" t="str">
        <x:v>NBM ENGENHARIA E CONSTRUCAO LTDA</x:v>
      </x:c>
      <x:c r="C39" s="25" t="str">
        <x:f>"27879068000149"</x:f>
        <x:v>27879068000149</x:v>
      </x:c>
      <x:c r="D39" s="23" t="str">
        <x:v>AVANHANDAVA</x:v>
      </x:c>
      <x:c r="E39" s="23" t="str">
        <x:v>naoinformado@naoinformado.ni</x:v>
      </x:c>
      <x:c r="F39" s="23" t="str">
        <x:v>1836512050</x:v>
      </x:c>
      <x:c r="G39" s="28" t="str">
        <x:v>Destinatário</x:v>
      </x:c>
      <x:c r="H39" s="29" t="n">
        <x:v>46128</x:v>
      </x:c>
      <x:c r="I39" s="29" t="n">
        <x:v>46044</x:v>
      </x:c>
      <x:c r="J39" s="30" t="str">
        <x:v>LILIANE</x:v>
      </x:c>
      <x:c r="K39" s="30" t="str">
        <x:v>COMERCIAL</x:v>
      </x:c>
      <x:c r="L39" s="30" t="str">
        <x:v>liliane@nikomateriais.com.br</x:v>
      </x:c>
      <x:c r="M39" s="30" t="str">
        <x:v>1836512050</x:v>
      </x:c>
    </x:row>
    <x:row r="40">
      <x:c r="A40" s="27" t="n">
        <x:v>32073</x:v>
      </x:c>
      <x:c r="B40" s="23" t="str">
        <x:v>CONSTRUTORA ADOLFO NETO LTDA</x:v>
      </x:c>
      <x:c r="C40" s="25" t="str">
        <x:f>"34676696000192"</x:f>
        <x:v>34676696000192</x:v>
      </x:c>
      <x:c r="D40" s="23" t="str">
        <x:v>OSASCO</x:v>
      </x:c>
      <x:c r="E40" s="23" t="str">
        <x:v>contato@adolfoneto.com.br</x:v>
      </x:c>
      <x:c r="F40" s="23" t="str">
        <x:v>1140401561</x:v>
      </x:c>
      <x:c r="G40" s="28" t="str">
        <x:v>Destinatário</x:v>
      </x:c>
      <x:c r="H40" s="29" t="n">
        <x:v>46128</x:v>
      </x:c>
      <x:c r="I40" s="29" t="n">
        <x:v>46044</x:v>
      </x:c>
      <x:c r="J40" s="30" t="str">
        <x:v>ADOLFO</x:v>
      </x:c>
      <x:c r="K40" s="30" t="str">
        <x:v>COMERCIAL</x:v>
      </x:c>
      <x:c r="L40" s="30" t="str">
        <x:v>contato@adolfoneto.com.br</x:v>
      </x:c>
      <x:c r="M40" s="30" t="str">
        <x:v>1140401561</x:v>
      </x:c>
    </x:row>
    <x:row r="41">
      <x:c r="A41" s="27" t="n">
        <x:v>32075</x:v>
      </x:c>
      <x:c r="B41" s="23" t="str">
        <x:v>J.G.P. COMERCIO E RECONDICIONAMENTO DE PECAS LTDA</x:v>
      </x:c>
      <x:c r="C41" s="25" t="str">
        <x:f>"54818810000189"</x:f>
        <x:v>54818810000189</x:v>
      </x:c>
      <x:c r="D41" s="23" t="str">
        <x:v>ARAÇATUBA</x:v>
      </x:c>
      <x:c r="E41" s="23" t="str">
        <x:v>jgppecas@gmail.com</x:v>
      </x:c>
      <x:c r="F41" s="23" t="str">
        <x:v>1836221690</x:v>
      </x:c>
      <x:c r="G41" s="28" t="str">
        <x:v>Destinatário</x:v>
      </x:c>
      <x:c r="H41" s="29" t="n">
        <x:v>46146</x:v>
      </x:c>
      <x:c r="I41" s="29" t="n">
        <x:v>46046</x:v>
      </x:c>
      <x:c r="J41" s="30" t="str">
        <x:v>EMANOEL</x:v>
      </x:c>
      <x:c r="K41" s="30" t="str">
        <x:v>COMERCIAL</x:v>
      </x:c>
      <x:c r="L41" s="30" t="str">
        <x:v>jgppecas@gmail.com</x:v>
      </x:c>
      <x:c r="M41" s="30" t="str">
        <x:v>18997869489</x:v>
      </x:c>
    </x:row>
    <x:row r="42">
      <x:c r="A42" s="27" t="n">
        <x:v>32078</x:v>
      </x:c>
      <x:c r="B42" s="23" t="str">
        <x:v>COMANDO DA AERONAUTICA</x:v>
      </x:c>
      <x:c r="C42" s="25" t="str">
        <x:f>"00394429000291"</x:f>
        <x:v>00394429000291</x:v>
      </x:c>
      <x:c r="D42" s="23" t="str">
        <x:v>PIRASSUNUNGA</x:v>
      </x:c>
      <x:c r="E42" s="23" t="str">
        <x:v>nf4021@gmail.com</x:v>
      </x:c>
      <x:c r="F42" s="23" t="str">
        <x:v>1935657000</x:v>
      </x:c>
      <x:c r="G42" s="28" t="str">
        <x:v>Destinatário</x:v>
      </x:c>
      <x:c r="H42" s="29" t="n">
        <x:v>46139</x:v>
      </x:c>
      <x:c r="I42" s="29" t="n">
        <x:v>46048</x:v>
      </x:c>
      <x:c r="J42" s="30" t="str">
        <x:v>ERIC BREVIGLIERI</x:v>
      </x:c>
      <x:c r="K42" s="30" t="str">
        <x:v>COMERCIAL</x:v>
      </x:c>
      <x:c r="L42" s="30" t="str">
        <x:v>afa@fab.mil.br</x:v>
      </x:c>
      <x:c r="M42" s="30" t="str">
        <x:v>1935657000</x:v>
      </x:c>
    </x:row>
    <x:row r="43">
      <x:c r="A43" s="27" t="n">
        <x:v>32081</x:v>
      </x:c>
      <x:c r="B43" s="23" t="str">
        <x:v>EMAIS VISTA BELA INCORPORADORA 58 SPE LTDA</x:v>
      </x:c>
      <x:c r="C43" s="25" t="str">
        <x:f>"27672511000106"</x:f>
        <x:v>27672511000106</x:v>
      </x:c>
      <x:c r="D43" s="23" t="str">
        <x:v>SÃO JOSÉ DO RIO PRETO</x:v>
      </x:c>
      <x:c r="E43" s="23" t="str">
        <x:v>relacionamento@emais.com</x:v>
      </x:c>
      <x:c r="F43" s="23" t="str">
        <x:v>1781351929</x:v>
      </x:c>
      <x:c r="G43" s="28" t="str">
        <x:v>Destinatário</x:v>
      </x:c>
      <x:c r="H43" s="29" t="n">
        <x:v>46140</x:v>
      </x:c>
      <x:c r="I43" s="29" t="n">
        <x:v>46048</x:v>
      </x:c>
      <x:c r="J43" s="30" t="str">
        <x:v>GABRIELA</x:v>
      </x:c>
      <x:c r="K43" s="30" t="str">
        <x:v>COMERCIAL</x:v>
      </x:c>
      <x:c r="L43" s="30" t="str">
        <x:v>relacionamento@emais.com</x:v>
      </x:c>
      <x:c r="M43" s="30" t="str">
        <x:v>17981351929
1740099999</x:v>
      </x:c>
    </x:row>
    <x:row r="44">
      <x:c r="A44" s="27" t="n">
        <x:v>32086</x:v>
      </x:c>
      <x:c r="B44" s="23" t="str">
        <x:v>GTA ELETRONICA LTDA</x:v>
      </x:c>
      <x:c r="C44" s="25" t="str">
        <x:f>"69045763000155"</x:f>
        <x:v>69045763000155</x:v>
      </x:c>
      <x:c r="D44" s="23" t="str">
        <x:v>SÃO PAULO</x:v>
      </x:c>
      <x:c r="E44" s="23" t="str">
        <x:v>expediente@cnecontabilidade.com.br</x:v>
      </x:c>
      <x:c r="F44" s="23" t="str">
        <x:v>1129164641</x:v>
      </x:c>
      <x:c r="G44" s="28" t="str">
        <x:v>Destinatário</x:v>
      </x:c>
      <x:c r="H44" s="29" t="n">
        <x:v>46136</x:v>
      </x:c>
      <x:c r="I44" s="29" t="n">
        <x:v>46049</x:v>
      </x:c>
      <x:c r="J44" s="30" t="str">
        <x:v>ANDRE</x:v>
      </x:c>
      <x:c r="K44" s="30" t="str">
        <x:v>COMERCIAL</x:v>
      </x:c>
      <x:c r="L44" s="30" t="str">
        <x:v>compras@gtaeletronica.com.br</x:v>
      </x:c>
      <x:c r="M44" s="30" t="str">
        <x:v>1129164641</x:v>
      </x:c>
    </x:row>
    <x:row r="45">
      <x:c r="A45" s="27" t="n">
        <x:v>32091</x:v>
      </x:c>
      <x:c r="B45" s="23" t="str">
        <x:v>JOFFER FERRAMENTARIA LTDA</x:v>
      </x:c>
      <x:c r="C45" s="25" t="str">
        <x:f>"33604138000159"</x:f>
        <x:v>33604138000159</x:v>
      </x:c>
      <x:c r="D45" s="23" t="str">
        <x:v>SOROCABA</x:v>
      </x:c>
      <x:c r="E45" s="23" t="str">
        <x:v>crisjoffer@terra.com.br</x:v>
      </x:c>
      <x:c r="F45" s="23" t="str">
        <x:v>1532284026</x:v>
      </x:c>
      <x:c r="G45" s="28" t="str">
        <x:v>Destinatário</x:v>
      </x:c>
      <x:c r="H45" s="29" t="n">
        <x:v>46104</x:v>
      </x:c>
      <x:c r="I45" s="29" t="n">
        <x:v>46050</x:v>
      </x:c>
      <x:c r="J45" s="30" t="str"/>
      <x:c r="K45" s="30" t="str"/>
      <x:c r="L45" s="30" t="str"/>
      <x:c r="M45" s="30" t="str"/>
    </x:row>
    <x:row r="46">
      <x:c r="A46" s="27" t="n">
        <x:v>32095</x:v>
      </x:c>
      <x:c r="B46" s="23" t="str">
        <x:v>30.549.136 DANIEL FERNANDO DOS SANTOS</x:v>
      </x:c>
      <x:c r="C46" s="25" t="str">
        <x:f>"30549136000116"</x:f>
        <x:v>30549136000116</x:v>
      </x:c>
      <x:c r="D46" s="23" t="str">
        <x:v>VOTUPORANGA</x:v>
      </x:c>
      <x:c r="E46" s="23" t="str">
        <x:v>LUCIANOLSCONTABIL@GMAIL.COM</x:v>
      </x:c>
      <x:c r="F46" s="23" t="str">
        <x:v>17996054405</x:v>
      </x:c>
      <x:c r="G46" s="28" t="str">
        <x:v>Destinatário</x:v>
      </x:c>
      <x:c r="H46" s="29" t="n">
        <x:v>46149</x:v>
      </x:c>
      <x:c r="I46" s="29" t="n">
        <x:v>46051</x:v>
      </x:c>
      <x:c r="J46" s="30" t="str"/>
      <x:c r="K46" s="30" t="str"/>
      <x:c r="L46" s="30" t="str"/>
      <x:c r="M46" s="30" t="str"/>
    </x:row>
    <x:row r="47">
      <x:c r="A47" s="27" t="n">
        <x:v>32096</x:v>
      </x:c>
      <x:c r="B47" s="23" t="str">
        <x:v>AVELO BIKE SHOP LTDA</x:v>
      </x:c>
      <x:c r="C47" s="25" t="str">
        <x:f>"40460333000118"</x:f>
        <x:v>40460333000118</x:v>
      </x:c>
      <x:c r="D47" s="23" t="str">
        <x:v>MONTE AZUL PAULISTA</x:v>
      </x:c>
      <x:c r="E47" s="23" t="str">
        <x:v>AGROCONTABIL.NOSSASENHORAAPARECIDA@HOTMAIL.COM</x:v>
      </x:c>
      <x:c r="F47" s="23" t="str">
        <x:v>17992472520</x:v>
      </x:c>
      <x:c r="G47" s="28" t="str">
        <x:v>Destinatário</x:v>
      </x:c>
      <x:c r="H47" s="29" t="n">
        <x:v>46139</x:v>
      </x:c>
      <x:c r="I47" s="29" t="n">
        <x:v>46051</x:v>
      </x:c>
      <x:c r="J47" s="30" t="str">
        <x:v>EDMARE</x:v>
      </x:c>
      <x:c r="K47" s="30" t="str">
        <x:v>ADMINISTRATIVO - NEGOCIA FRETE</x:v>
      </x:c>
      <x:c r="L47" s="30" t="str">
        <x:v>bikesavelobikes@gmail.com</x:v>
      </x:c>
      <x:c r="M47" s="30" t="str">
        <x:v>17992472520</x:v>
      </x:c>
    </x:row>
    <x:row r="48">
      <x:c r="A48" s="27" t="n">
        <x:v>32097</x:v>
      </x:c>
      <x:c r="B48" s="23" t="str">
        <x:v>KARIN ROBERTA LAZARIN</x:v>
      </x:c>
      <x:c r="C48" s="25" t="str">
        <x:f>"09107013000139"</x:f>
        <x:v>09107013000139</x:v>
      </x:c>
      <x:c r="D48" s="23" t="str">
        <x:v>ITAPIRA</x:v>
      </x:c>
      <x:c r="E48" s="23" t="str">
        <x:v>mazolaciclo@bol.com.br</x:v>
      </x:c>
      <x:c r="F48" s="23" t="str">
        <x:v>1938632696</x:v>
      </x:c>
      <x:c r="G48" s="28" t="str">
        <x:v>Destinatário</x:v>
      </x:c>
      <x:c r="H48" s="29" t="n">
        <x:v>46148</x:v>
      </x:c>
      <x:c r="I48" s="29" t="n">
        <x:v>46051</x:v>
      </x:c>
      <x:c r="J48" s="30" t="str">
        <x:v>KARIN</x:v>
      </x:c>
      <x:c r="K48" s="30" t="str">
        <x:v>ADMINISTRATIVO - NEGOCIA FRETE</x:v>
      </x:c>
      <x:c r="L48" s="30" t="str">
        <x:v>mazolaciclo@bol.com.br</x:v>
      </x:c>
      <x:c r="M48" s="30" t="str">
        <x:v>19983699030</x:v>
      </x:c>
    </x:row>
    <x:row r="49">
      <x:c r="A49" s="27" t="n">
        <x:v>32130</x:v>
      </x:c>
      <x:c r="B49" s="23" t="str">
        <x:v>BIONEXT - PRODUTOS BIOTECNOLOGICOS LTDA.</x:v>
      </x:c>
      <x:c r="C49" s="25" t="str">
        <x:f>"05423767000147"</x:f>
        <x:v>05423767000147</x:v>
      </x:c>
      <x:c r="D49" s="23" t="str">
        <x:v>MOGI MIRIM</x:v>
      </x:c>
      <x:c r="E49" s="23" t="str">
        <x:v>CONTABILIDADE@BAUMER.COM.BR</x:v>
      </x:c>
      <x:c r="F49" s="23" t="str"/>
      <x:c r="G49" s="28" t="str">
        <x:v>Destinatário</x:v>
      </x:c>
      <x:c r="H49" s="29" t="n">
        <x:v>46104</x:v>
      </x:c>
      <x:c r="I49" s="29" t="n">
        <x:v>46052</x:v>
      </x:c>
      <x:c r="J49" s="30" t="str"/>
      <x:c r="K49" s="30" t="str"/>
      <x:c r="L49" s="30" t="str"/>
      <x:c r="M49" s="30" t="str"/>
    </x:row>
    <x:row r="50">
      <x:c r="A50" s="27" t="n">
        <x:v>32132</x:v>
      </x:c>
      <x:c r="B50" s="23" t="str">
        <x:v>BM COMERCIO E DISTRIBUICAO DE PECAS AUTOMOTIVAS LTDA</x:v>
      </x:c>
      <x:c r="C50" s="25" t="str">
        <x:f>"45680986000207"</x:f>
        <x:v>45680986000207</x:v>
      </x:c>
      <x:c r="D50" s="23" t="str">
        <x:v>SÃO PAULO</x:v>
      </x:c>
      <x:c r="E50" s="23" t="str">
        <x:v>bmautopecasdistribuidorasp@outlook.com</x:v>
      </x:c>
      <x:c r="F50" s="23" t="str">
        <x:v>67991615561</x:v>
      </x:c>
      <x:c r="G50" s="28" t="str">
        <x:v>Destinatário</x:v>
      </x:c>
      <x:c r="H50" s="29" t="n">
        <x:v>46146</x:v>
      </x:c>
      <x:c r="I50" s="29" t="n">
        <x:v>46052</x:v>
      </x:c>
      <x:c r="J50" s="30" t="str">
        <x:v>MARCOS</x:v>
      </x:c>
      <x:c r="K50" s="30" t="str">
        <x:v>COMERCIAL</x:v>
      </x:c>
      <x:c r="L50" s="30" t="str">
        <x:v>bmautopecasdistribuidorasp@outlook.com</x:v>
      </x:c>
      <x:c r="M50" s="30" t="str">
        <x:v>67991615561</x:v>
      </x:c>
    </x:row>
    <x:row r="51">
      <x:c r="A51" s="27" t="n">
        <x:v>32136</x:v>
      </x:c>
      <x:c r="B51" s="23" t="str">
        <x:v>DIOGO PEDRO MARTINS</x:v>
      </x:c>
      <x:c r="C51" s="25" t="str">
        <x:f>"53164902000120"</x:f>
        <x:v>53164902000120</x:v>
      </x:c>
      <x:c r="D51" s="23" t="str">
        <x:v>PENÁPOLIS</x:v>
      </x:c>
      <x:c r="E51" s="23" t="str">
        <x:v>diogopedromartins1@gmail.com</x:v>
      </x:c>
      <x:c r="F51" s="23" t="str">
        <x:v>1898098391</x:v>
      </x:c>
      <x:c r="G51" s="28" t="str">
        <x:v>Destinatário</x:v>
      </x:c>
      <x:c r="H51" s="29" t="n">
        <x:v>46136</x:v>
      </x:c>
      <x:c r="I51" s="29" t="n">
        <x:v>46052</x:v>
      </x:c>
      <x:c r="J51" s="30" t="str">
        <x:v>DIGO</x:v>
      </x:c>
      <x:c r="K51" s="30" t="str">
        <x:v>COMERCIAL</x:v>
      </x:c>
      <x:c r="L51" s="30" t="str">
        <x:v>diogopedromartins3@gmail.com</x:v>
      </x:c>
      <x:c r="M51" s="30" t="str">
        <x:v>18991002457</x:v>
      </x:c>
    </x:row>
    <x:row r="52">
      <x:c r="A52" s="27" t="n">
        <x:v>32139</x:v>
      </x:c>
      <x:c r="B52" s="23" t="str">
        <x:v>ARMAZEM DA UTILIDADE RIO PRETO LTDA</x:v>
      </x:c>
      <x:c r="C52" s="25" t="str">
        <x:f>"30549716000103"</x:f>
        <x:v>30549716000103</x:v>
      </x:c>
      <x:c r="D52" s="23" t="str">
        <x:v>SÃO JOSÉ DO RIO PRETO</x:v>
      </x:c>
      <x:c r="E52" s="23" t="str">
        <x:v>JH_226@HOTMAIL.COM</x:v>
      </x:c>
      <x:c r="F52" s="23" t="str">
        <x:v>1733636543</x:v>
      </x:c>
      <x:c r="G52" s="28" t="str">
        <x:v>Destinatário</x:v>
      </x:c>
      <x:c r="H52" s="29" t="n">
        <x:v>46139</x:v>
      </x:c>
      <x:c r="I52" s="29" t="n">
        <x:v>46055</x:v>
      </x:c>
      <x:c r="J52" s="30" t="str">
        <x:v>JOAO</x:v>
      </x:c>
      <x:c r="K52" s="30" t="str">
        <x:v>ADMINISTRATIVO - NEGOCIA FRETE</x:v>
      </x:c>
      <x:c r="L52" s="30" t="str">
        <x:v>JH_226@HOTMAIL.COM</x:v>
      </x:c>
      <x:c r="M52" s="30" t="str">
        <x:v>1733636543</x:v>
      </x:c>
    </x:row>
    <x:row r="53">
      <x:c r="A53" s="27" t="n">
        <x:v>32143</x:v>
      </x:c>
      <x:c r="B53" s="23" t="str">
        <x:v>47.554.063 RUBENS RIBEIRO</x:v>
      </x:c>
      <x:c r="C53" s="25" t="str">
        <x:f>"47554063000153"</x:f>
        <x:v>47554063000153</x:v>
      </x:c>
      <x:c r="D53" s="23" t="str">
        <x:v>TUPÃ</x:v>
      </x:c>
      <x:c r="E53" s="23" t="str">
        <x:v>NF5446@gmail.com</x:v>
      </x:c>
      <x:c r="F53" s="23" t="str">
        <x:v>14996544813</x:v>
      </x:c>
      <x:c r="G53" s="28" t="str">
        <x:v>Destinatário</x:v>
      </x:c>
      <x:c r="H53" s="29" t="n">
        <x:v>46148</x:v>
      </x:c>
      <x:c r="I53" s="29" t="n">
        <x:v>46056</x:v>
      </x:c>
      <x:c r="J53" s="30" t="str">
        <x:v>RUBENS</x:v>
      </x:c>
      <x:c r="K53" s="30" t="str">
        <x:v>COMERCIAL</x:v>
      </x:c>
      <x:c r="L53" s="30" t="str">
        <x:v>ribeirorepresentatupa@gmail.com</x:v>
      </x:c>
      <x:c r="M53" s="30" t="str">
        <x:v>14996544813</x:v>
      </x:c>
    </x:row>
    <x:row r="54">
      <x:c r="A54" s="27" t="n">
        <x:v>32145</x:v>
      </x:c>
      <x:c r="B54" s="23" t="str">
        <x:v>INCORPORADORA E EMPREENDIMENTOS KORINGA SPE LTDA.</x:v>
      </x:c>
      <x:c r="C54" s="25" t="str">
        <x:f>"39860802000107"</x:f>
        <x:v>39860802000107</x:v>
      </x:c>
      <x:c r="D54" s="23" t="str">
        <x:v>ARARAQUARA</x:v>
      </x:c>
      <x:c r="E54" s="23" t="str">
        <x:v>nf13228@gmail.com</x:v>
      </x:c>
      <x:c r="F54" s="23" t="str"/>
      <x:c r="G54" s="28" t="str">
        <x:v>Destinatário</x:v>
      </x:c>
      <x:c r="H54" s="29" t="n">
        <x:v>46104</x:v>
      </x:c>
      <x:c r="I54" s="29" t="n">
        <x:v>46056</x:v>
      </x:c>
      <x:c r="J54" s="30" t="str"/>
      <x:c r="K54" s="30" t="str"/>
      <x:c r="L54" s="30" t="str"/>
      <x:c r="M54" s="30" t="str"/>
    </x:row>
    <x:row r="55">
      <x:c r="A55" s="27" t="n">
        <x:v>32150</x:v>
      </x:c>
      <x:c r="B55" s="23" t="str">
        <x:v>INSTITUTO DE SAUDE - ORGANIZACAO SOCIAL FACERES</x:v>
      </x:c>
      <x:c r="C55" s="25" t="str">
        <x:f>"29505759000370"</x:f>
        <x:v>29505759000370</x:v>
      </x:c>
      <x:c r="D55" s="23" t="str">
        <x:v>MIRASSOL</x:v>
      </x:c>
      <x:c r="E55" s="23" t="str">
        <x:v>dpessoal3@faceres.com.br</x:v>
      </x:c>
      <x:c r="F55" s="23" t="str">
        <x:v>1740404273</x:v>
      </x:c>
      <x:c r="G55" s="28" t="str">
        <x:v>Destinatário</x:v>
      </x:c>
      <x:c r="H55" s="29" t="n">
        <x:v>46162</x:v>
      </x:c>
      <x:c r="I55" s="29" t="n">
        <x:v>46126</x:v>
      </x:c>
      <x:c r="J55" s="30" t="str">
        <x:v>KELLY</x:v>
      </x:c>
      <x:c r="K55" s="30" t="str">
        <x:v>COMPRAS</x:v>
      </x:c>
      <x:c r="L55" s="30" t="str">
        <x:v>dpessoal3@faceres.com.br</x:v>
      </x:c>
      <x:c r="M55" s="30" t="str">
        <x:v>1740404273</x:v>
      </x:c>
    </x:row>
    <x:row r="56">
      <x:c r="A56" s="27" t="n">
        <x:v>32153</x:v>
      </x:c>
      <x:c r="B56" s="23" t="str">
        <x:v>REDE COLOR JABOTICABAL LTDA</x:v>
      </x:c>
      <x:c r="C56" s="25" t="str">
        <x:f>"43790654000179"</x:f>
        <x:v>43790654000179</x:v>
      </x:c>
      <x:c r="D56" s="23" t="str">
        <x:v>JABOTICABAL</x:v>
      </x:c>
      <x:c r="E56" s="23" t="str">
        <x:v>REDECOLORTINTAS6@GMAIL.COM</x:v>
      </x:c>
      <x:c r="F56" s="23" t="str">
        <x:v>1632000363</x:v>
      </x:c>
      <x:c r="G56" s="28" t="str">
        <x:v>Destinatário</x:v>
      </x:c>
      <x:c r="H56" s="29" t="n">
        <x:v>46135</x:v>
      </x:c>
      <x:c r="I56" s="29" t="n">
        <x:v>46057</x:v>
      </x:c>
      <x:c r="J56" s="30" t="str">
        <x:v>LAIS</x:v>
      </x:c>
      <x:c r="K56" s="30" t="str">
        <x:v>ADMINISTRATIVO - NEGOCIA FRETE</x:v>
      </x:c>
      <x:c r="L56" s="30" t="str">
        <x:v>REDECOLORTINTAS6@GMAIL.COM</x:v>
      </x:c>
      <x:c r="M56" s="30" t="str">
        <x:v>1632000363</x:v>
      </x:c>
    </x:row>
    <x:row r="57">
      <x:c r="A57" s="27" t="n">
        <x:v>32155</x:v>
      </x:c>
      <x:c r="B57" s="23" t="str">
        <x:v>FORTSUPRI - FERRAMENTAS E ACESSORIOS INDUSTRIAIS LTDA</x:v>
      </x:c>
      <x:c r="C57" s="25" t="str">
        <x:f>"28941362000104"</x:f>
        <x:v>28941362000104</x:v>
      </x:c>
      <x:c r="D57" s="23" t="str">
        <x:v>CATANDUVA</x:v>
      </x:c>
      <x:c r="E57" s="23" t="str">
        <x:v>ACPCONTABILIDADECATANDUVA@GMAIL.COM</x:v>
      </x:c>
      <x:c r="F57" s="23" t="str">
        <x:v>1738574177</x:v>
      </x:c>
      <x:c r="G57" s="28" t="str">
        <x:v>Destinatário</x:v>
      </x:c>
      <x:c r="H57" s="29" t="n">
        <x:v>46139</x:v>
      </x:c>
      <x:c r="I57" s="29" t="n">
        <x:v>46057</x:v>
      </x:c>
      <x:c r="J57" s="30" t="str">
        <x:v>DHIONATAS</x:v>
      </x:c>
      <x:c r="K57" s="30" t="str">
        <x:v>ADMINISTRATIVO - NEGOCIA FRETE</x:v>
      </x:c>
      <x:c r="L57" s="30" t="str">
        <x:v>d.oliveira@fortsupriacessorios.com.br</x:v>
      </x:c>
      <x:c r="M57" s="30" t="str">
        <x:v>1738574177</x:v>
      </x:c>
    </x:row>
    <x:row r="58">
      <x:c r="A58" s="27" t="n">
        <x:v>32156</x:v>
      </x:c>
      <x:c r="B58" s="23" t="str">
        <x:v>AMEFIL INDUSTRIA DE AUTO PECAS LTDA</x:v>
      </x:c>
      <x:c r="C58" s="25" t="str">
        <x:f>"60949757000158"</x:f>
        <x:v>60949757000158</x:v>
      </x:c>
      <x:c r="D58" s="23" t="str">
        <x:v>SÃO PAULO</x:v>
      </x:c>
      <x:c r="E58" s="23" t="str">
        <x:v>amefil@terra.com.br</x:v>
      </x:c>
      <x:c r="F58" s="23" t="str">
        <x:v>1138723874</x:v>
      </x:c>
      <x:c r="G58" s="28" t="str">
        <x:v>Destinatário</x:v>
      </x:c>
      <x:c r="H58" s="29" t="n">
        <x:v>46139</x:v>
      </x:c>
      <x:c r="I58" s="29" t="n">
        <x:v>46057</x:v>
      </x:c>
      <x:c r="J58" s="30" t="str">
        <x:v>ROSA</x:v>
      </x:c>
      <x:c r="K58" s="30" t="str">
        <x:v>COMERCIAL</x:v>
      </x:c>
      <x:c r="L58" s="30" t="str">
        <x:v>amefil@terra.com.br</x:v>
      </x:c>
      <x:c r="M58" s="30" t="str">
        <x:v>11999302394</x:v>
      </x:c>
    </x:row>
    <x:row r="59">
      <x:c r="A59" s="27" t="n">
        <x:v>32159</x:v>
      </x:c>
      <x:c r="B59" s="23" t="str">
        <x:v>AGROGENESIS LTDA</x:v>
      </x:c>
      <x:c r="C59" s="25" t="str">
        <x:f>"64536706000155"</x:f>
        <x:v>64536706000155</x:v>
      </x:c>
      <x:c r="D59" s="23" t="str">
        <x:v>MONÇÕES</x:v>
      </x:c>
      <x:c r="E59" s="23" t="str">
        <x:v>wjromera@hotmail.com</x:v>
      </x:c>
      <x:c r="F59" s="23" t="str">
        <x:v>19982244847</x:v>
      </x:c>
      <x:c r="G59" s="28" t="str">
        <x:v>Destinatário</x:v>
      </x:c>
      <x:c r="H59" s="29" t="n">
        <x:v>46139</x:v>
      </x:c>
      <x:c r="I59" s="29" t="n">
        <x:v>46062</x:v>
      </x:c>
      <x:c r="J59" s="30" t="str">
        <x:v>WILLIAM</x:v>
      </x:c>
      <x:c r="K59" s="30" t="str">
        <x:v>ADMINISTRATIVO - NEGOCIA FRETE</x:v>
      </x:c>
      <x:c r="L59" s="30" t="str">
        <x:v>wjromera@hotmail.com</x:v>
      </x:c>
      <x:c r="M59" s="30" t="str">
        <x:v>19982244847</x:v>
      </x:c>
    </x:row>
    <x:row r="60">
      <x:c r="A60" s="27" t="n">
        <x:v>32160</x:v>
      </x:c>
      <x:c r="B60" s="23" t="str">
        <x:v>44.521.333 ANA ISABELLA OTERO RANGEL</x:v>
      </x:c>
      <x:c r="C60" s="25" t="str">
        <x:f>"44521333000131"</x:f>
        <x:v>44521333000131</x:v>
      </x:c>
      <x:c r="D60" s="23" t="str">
        <x:v>SÃO JOSÉ DO RIO PRETO</x:v>
      </x:c>
      <x:c r="E60" s="23" t="str">
        <x:v>KHAYNA@GMAIL.COM</x:v>
      </x:c>
      <x:c r="F60" s="23" t="str">
        <x:v>17991758020</x:v>
      </x:c>
      <x:c r="G60" s="28" t="str">
        <x:v>Destinatário</x:v>
      </x:c>
      <x:c r="H60" s="29" t="n">
        <x:v>46149</x:v>
      </x:c>
      <x:c r="I60" s="29" t="n">
        <x:v>46058</x:v>
      </x:c>
      <x:c r="J60" s="30" t="str">
        <x:v>ANA</x:v>
      </x:c>
      <x:c r="K60" s="30" t="str">
        <x:v>COMERCIAL</x:v>
      </x:c>
      <x:c r="L60" s="30" t="str">
        <x:v>KHAYNA@GMAIL.COM</x:v>
      </x:c>
      <x:c r="M60" s="30" t="str">
        <x:v>17991758020</x:v>
      </x:c>
    </x:row>
    <x:row r="61">
      <x:c r="A61" s="27" t="n">
        <x:v>32161</x:v>
      </x:c>
      <x:c r="B61" s="23" t="str">
        <x:v>TRANSMAFFEI TRANSPORTES LTDA</x:v>
      </x:c>
      <x:c r="C61" s="25" t="str">
        <x:f>"03827515000158"</x:f>
        <x:v>03827515000158</x:v>
      </x:c>
      <x:c r="D61" s="23" t="str">
        <x:v>MATÃO</x:v>
      </x:c>
      <x:c r="E61" s="23" t="str">
        <x:v>FATURAMENTO@TRANSMAFFEI.COM.BR</x:v>
      </x:c>
      <x:c r="F61" s="23" t="str">
        <x:v>1633823287</x:v>
      </x:c>
      <x:c r="G61" s="28" t="str">
        <x:v>Destinatário</x:v>
      </x:c>
      <x:c r="H61" s="29" t="n">
        <x:v>46104</x:v>
      </x:c>
      <x:c r="I61" s="29" t="n">
        <x:v>46059</x:v>
      </x:c>
      <x:c r="J61" s="30" t="str"/>
      <x:c r="K61" s="30" t="str"/>
      <x:c r="L61" s="30" t="str"/>
      <x:c r="M61" s="30" t="str"/>
    </x:row>
    <x:row r="62">
      <x:c r="A62" s="27" t="n">
        <x:v>32163</x:v>
      </x:c>
      <x:c r="B62" s="23" t="str">
        <x:v>RESIDENCIAL PATIO BOA VISTA SPE LTDA</x:v>
      </x:c>
      <x:c r="C62" s="25" t="str">
        <x:f>"40182191000174"</x:f>
        <x:v>40182191000174</x:v>
      </x:c>
      <x:c r="D62" s="23" t="str">
        <x:v>SOROCABA</x:v>
      </x:c>
      <x:c r="E62" s="23" t="str">
        <x:v>REGULARIZACAO@ENTERCONTABIL.COM.BR</x:v>
      </x:c>
      <x:c r="F62" s="23" t="str">
        <x:v>15996673407</x:v>
      </x:c>
      <x:c r="G62" s="28" t="str">
        <x:v>Destinatário</x:v>
      </x:c>
      <x:c r="H62" s="29" t="n">
        <x:v>46162</x:v>
      </x:c>
      <x:c r="I62" s="29" t="n">
        <x:v>46058</x:v>
      </x:c>
      <x:c r="J62" s="30" t="str">
        <x:v>CESAR</x:v>
      </x:c>
      <x:c r="K62" s="30" t="str">
        <x:v>ADMINISTRATIVO - NEGOCIA FRETE</x:v>
      </x:c>
      <x:c r="L62" s="30" t="str">
        <x:v>contato@construtoraplaneta.com.br</x:v>
      </x:c>
      <x:c r="M62" s="30" t="str">
        <x:v>15981848000</x:v>
      </x:c>
    </x:row>
    <x:row r="63">
      <x:c r="A63" s="27" t="n">
        <x:v>32166</x:v>
      </x:c>
      <x:c r="B63" s="23" t="str">
        <x:v>PRIME TINTAS LTDA</x:v>
      </x:c>
      <x:c r="C63" s="25" t="str">
        <x:f>"51923317000130"</x:f>
        <x:v>51923317000130</x:v>
      </x:c>
      <x:c r="D63" s="23" t="str">
        <x:v>SOROCABA</x:v>
      </x:c>
      <x:c r="E63" s="23" t="str">
        <x:v>PPRIMETINTAS@GMAIL.COM</x:v>
      </x:c>
      <x:c r="F63" s="23" t="str">
        <x:v>15981185767</x:v>
      </x:c>
      <x:c r="G63" s="28" t="str">
        <x:v>Destinatário</x:v>
      </x:c>
      <x:c r="H63" s="29" t="n">
        <x:v>46135</x:v>
      </x:c>
      <x:c r="I63" s="29" t="n">
        <x:v>46058</x:v>
      </x:c>
      <x:c r="J63" s="30" t="str">
        <x:v>FELIPE</x:v>
      </x:c>
      <x:c r="K63" s="30" t="str">
        <x:v>ADMINISTRATIVO - NEGOCIA FRETE</x:v>
      </x:c>
      <x:c r="L63" s="30" t="str">
        <x:v>PPRIMETINTAS@GMAIL.COM</x:v>
      </x:c>
      <x:c r="M63" s="30" t="str">
        <x:v>15981185767</x:v>
      </x:c>
    </x:row>
    <x:row r="64">
      <x:c r="A64" s="27" t="n">
        <x:v>32170</x:v>
      </x:c>
      <x:c r="B64" s="23" t="str">
        <x:v>LILIAN RODRIGUES BERTO DA SILVA</x:v>
      </x:c>
      <x:c r="C64" s="25" t="str">
        <x:f>"37278473000165"</x:f>
        <x:v>37278473000165</x:v>
      </x:c>
      <x:c r="D64" s="23" t="str">
        <x:v>SOROCABA</x:v>
      </x:c>
      <x:c r="E64" s="23" t="str">
        <x:v>PPRIMETINTAS@GMAIL.COM</x:v>
      </x:c>
      <x:c r="F64" s="23" t="str">
        <x:v>15988323899</x:v>
      </x:c>
      <x:c r="G64" s="28" t="str">
        <x:v>Destinatário</x:v>
      </x:c>
      <x:c r="H64" s="29" t="n">
        <x:v>46148</x:v>
      </x:c>
      <x:c r="I64" s="29" t="n">
        <x:v>46058</x:v>
      </x:c>
      <x:c r="J64" s="30" t="str">
        <x:v>LILIAN</x:v>
      </x:c>
      <x:c r="K64" s="30" t="str">
        <x:v>ADMINISTRATIVO - NEGOCIA FRETE</x:v>
      </x:c>
      <x:c r="L64" s="30" t="str">
        <x:v>rodrigueslilian1378@gmail.com</x:v>
      </x:c>
      <x:c r="M64" s="30" t="str">
        <x:v>15988323899</x:v>
      </x:c>
    </x:row>
    <x:row r="65">
      <x:c r="A65" s="27" t="n">
        <x:v>32176</x:v>
      </x:c>
      <x:c r="B65" s="23" t="str">
        <x:v>DIONISIO &amp; DIONISIO LTDA.</x:v>
      </x:c>
      <x:c r="C65" s="25" t="str">
        <x:f>"32469004000100"</x:f>
        <x:v>32469004000100</x:v>
      </x:c>
      <x:c r="D65" s="23" t="str">
        <x:v>ZACARIAS</x:v>
      </x:c>
      <x:c r="E65" s="23" t="str">
        <x:v>MARDIONCS@GMAIL.COM</x:v>
      </x:c>
      <x:c r="F65" s="23" t="str"/>
      <x:c r="G65" s="28" t="str">
        <x:v>Destinatário</x:v>
      </x:c>
      <x:c r="H65" s="29" t="n">
        <x:v>46104</x:v>
      </x:c>
      <x:c r="I65" s="29" t="n">
        <x:v>46059</x:v>
      </x:c>
      <x:c r="J65" s="30" t="str"/>
      <x:c r="K65" s="30" t="str"/>
      <x:c r="L65" s="30" t="str"/>
      <x:c r="M65" s="30" t="str"/>
    </x:row>
    <x:row r="66">
      <x:c r="A66" s="27" t="n">
        <x:v>32177</x:v>
      </x:c>
      <x:c r="B66" s="23" t="str">
        <x:v>ANTONIO AUGUSTO DOS SANTOS MATAO</x:v>
      </x:c>
      <x:c r="C66" s="25" t="str">
        <x:f>"02415505000142"</x:f>
        <x:v>02415505000142</x:v>
      </x:c>
      <x:c r="D66" s="23" t="str">
        <x:v>MATÃO</x:v>
      </x:c>
      <x:c r="E66" s="23" t="str">
        <x:v>ANTONIOAUGUSTODOSSANTOS10@GMAIL.COM</x:v>
      </x:c>
      <x:c r="F66" s="23" t="str">
        <x:v>1632811489</x:v>
      </x:c>
      <x:c r="G66" s="28" t="str">
        <x:v>Destinatário</x:v>
      </x:c>
      <x:c r="H66" s="29" t="n">
        <x:v>46149</x:v>
      </x:c>
      <x:c r="I66" s="29" t="n">
        <x:v>46059</x:v>
      </x:c>
      <x:c r="J66" s="30" t="str">
        <x:v>ANTONIO</x:v>
      </x:c>
      <x:c r="K66" s="30" t="str">
        <x:v>ADMINISTRATIVO - NEGOCIA FRETE</x:v>
      </x:c>
      <x:c r="L66" s="30" t="str">
        <x:v>ANTONIOAUGUSTODOSSANTOS10@GMAIL.COM</x:v>
      </x:c>
      <x:c r="M66" s="30" t="str">
        <x:v>1632811489</x:v>
      </x:c>
    </x:row>
    <x:row r="67">
      <x:c r="A67" s="27" t="n">
        <x:v>32179</x:v>
      </x:c>
      <x:c r="B67" s="23" t="str">
        <x:v>MERCADAO DE TRATORES RIO PRETO LTDA</x:v>
      </x:c>
      <x:c r="C67" s="25" t="str">
        <x:f>"00010126001119"</x:f>
        <x:v>00010126001119</x:v>
      </x:c>
      <x:c r="D67" s="23" t="str">
        <x:v>ARARAQUARA</x:v>
      </x:c>
      <x:c r="E67" s="23" t="str">
        <x:v>ti@ti.com.br</x:v>
      </x:c>
      <x:c r="F67" s="23" t="str">
        <x:v>1732168055</x:v>
      </x:c>
      <x:c r="G67" s="28" t="str">
        <x:v>Destinatário</x:v>
      </x:c>
      <x:c r="H67" s="29" t="n">
        <x:v>46104</x:v>
      </x:c>
      <x:c r="I67" s="29" t="n">
        <x:v>46059</x:v>
      </x:c>
      <x:c r="J67" s="30" t="str"/>
      <x:c r="K67" s="30" t="str"/>
      <x:c r="L67" s="30" t="str"/>
      <x:c r="M67" s="30" t="str"/>
    </x:row>
    <x:row r="68">
      <x:c r="A68" s="27" t="n">
        <x:v>32181</x:v>
      </x:c>
      <x:c r="B68" s="23" t="str">
        <x:v>TACK MARILIA X INCORPORADORA SPE LTDA</x:v>
      </x:c>
      <x:c r="C68" s="25" t="str">
        <x:f>"50634628000117"</x:f>
        <x:v>50634628000117</x:v>
      </x:c>
      <x:c r="D68" s="23" t="str">
        <x:v>MARÍLIA</x:v>
      </x:c>
      <x:c r="E68" s="23" t="str">
        <x:v>CONTABIL@TACK.NET.BR</x:v>
      </x:c>
      <x:c r="F68" s="23" t="str">
        <x:v>1433063952</x:v>
      </x:c>
      <x:c r="G68" s="28" t="str">
        <x:v>Destinatário</x:v>
      </x:c>
      <x:c r="H68" s="29" t="n">
        <x:v>46132</x:v>
      </x:c>
      <x:c r="I68" s="29" t="n">
        <x:v>46059</x:v>
      </x:c>
      <x:c r="J68" s="30" t="str"/>
      <x:c r="K68" s="30" t="str"/>
      <x:c r="L68" s="30" t="str"/>
      <x:c r="M68" s="30" t="str"/>
    </x:row>
    <x:row r="69">
      <x:c r="A69" s="27" t="n">
        <x:v>32184</x:v>
      </x:c>
      <x:c r="B69" s="23" t="str">
        <x:v>HB25 EMPREENDIMENTOS IMOBILIARIOS SPE LTDA.</x:v>
      </x:c>
      <x:c r="C69" s="25" t="str">
        <x:f>"30401322000103"</x:f>
        <x:v>30401322000103</x:v>
      </x:c>
      <x:c r="D69" s="23" t="str">
        <x:v>RIBEIRÃO PRETO</x:v>
      </x:c>
      <x:c r="E69" s="23" t="str">
        <x:v>CONTABILIDADE@HABIARTE.COM</x:v>
      </x:c>
      <x:c r="F69" s="23" t="str">
        <x:v>1633233000</x:v>
      </x:c>
      <x:c r="G69" s="28" t="str">
        <x:v>Destinatário</x:v>
      </x:c>
      <x:c r="H69" s="29" t="n">
        <x:v>46162</x:v>
      </x:c>
      <x:c r="I69" s="29" t="n">
        <x:v>46062</x:v>
      </x:c>
      <x:c r="J69" s="30" t="str">
        <x:v>MARIANA</x:v>
      </x:c>
      <x:c r="K69" s="30" t="str">
        <x:v>COMERCIAL</x:v>
      </x:c>
      <x:c r="L69" s="30" t="str">
        <x:v>contato@habiarte.com</x:v>
      </x:c>
      <x:c r="M69" s="30" t="str">
        <x:v>1633233000</x:v>
      </x:c>
    </x:row>
    <x:row r="70">
      <x:c r="A70" s="27" t="n">
        <x:v>32185</x:v>
      </x:c>
      <x:c r="B70" s="23" t="str">
        <x:v>DAL BEN TUBOS E CONEXOES LTDA</x:v>
      </x:c>
      <x:c r="C70" s="25" t="str">
        <x:f>"22407306000108"</x:f>
        <x:v>22407306000108</x:v>
      </x:c>
      <x:c r="D70" s="23" t="str">
        <x:v>JARDINÓPOLIS</x:v>
      </x:c>
      <x:c r="E70" s="23" t="str">
        <x:v>JRCONTESCRITORIO@GMAIL.COM</x:v>
      </x:c>
      <x:c r="F70" s="23" t="str"/>
      <x:c r="G70" s="28" t="str">
        <x:v>Destinatário</x:v>
      </x:c>
      <x:c r="H70" s="29" t="n">
        <x:v>46153</x:v>
      </x:c>
      <x:c r="I70" s="29" t="n">
        <x:v>46062</x:v>
      </x:c>
      <x:c r="J70" s="30" t="str">
        <x:v>ROSE</x:v>
      </x:c>
      <x:c r="K70" s="30" t="str">
        <x:v>COMERCIAL</x:v>
      </x:c>
      <x:c r="L70" s="30" t="str">
        <x:v>dalbentubos@gmail.com</x:v>
      </x:c>
      <x:c r="M70" s="30" t="str">
        <x:v>1636633342</x:v>
      </x:c>
    </x:row>
    <x:row r="71">
      <x:c r="A71" s="27" t="n">
        <x:v>32186</x:v>
      </x:c>
      <x:c r="B71" s="23" t="str">
        <x:v>ALBERT MULLER GUEDES DA SILVA</x:v>
      </x:c>
      <x:c r="C71" s="25" t="str">
        <x:f>"41789014000113"</x:f>
        <x:v>41789014000113</x:v>
      </x:c>
      <x:c r="D71" s="23" t="str">
        <x:v>BEBEDOURO</x:v>
      </x:c>
      <x:c r="E71" s="23" t="str">
        <x:v>ALBERTGUEDESSILVA@GMAIL.COM</x:v>
      </x:c>
      <x:c r="F71" s="23" t="str">
        <x:v>17997311590</x:v>
      </x:c>
      <x:c r="G71" s="28" t="str">
        <x:v>Destinatário</x:v>
      </x:c>
      <x:c r="H71" s="29" t="n">
        <x:v>46149</x:v>
      </x:c>
      <x:c r="I71" s="29" t="n">
        <x:v>46062</x:v>
      </x:c>
      <x:c r="J71" s="30" t="str">
        <x:v>ALBERT</x:v>
      </x:c>
      <x:c r="K71" s="30" t="str">
        <x:v>ADMINISTRATIVO - NEGOCIA FRETE</x:v>
      </x:c>
      <x:c r="L71" s="30" t="str">
        <x:v>casanobreconstrucao@outlook.com</x:v>
      </x:c>
      <x:c r="M71" s="30" t="str">
        <x:v>17997311590</x:v>
      </x:c>
    </x:row>
    <x:row r="72">
      <x:c r="A72" s="27" t="n">
        <x:v>32187</x:v>
      </x:c>
      <x:c r="B72" s="23" t="str">
        <x:v>SERT-MAT COMERCIO DE MATERIAIS DE CONSTRUCAO LTDA</x:v>
      </x:c>
      <x:c r="C72" s="25" t="str">
        <x:f>"04550816000140"</x:f>
        <x:v>04550816000140</x:v>
      </x:c>
      <x:c r="D72" s="23" t="str">
        <x:v>SERTÃOZINHO</x:v>
      </x:c>
      <x:c r="E72" s="23" t="str">
        <x:v>ADMINISTRATIVO@SERTAOZINHOCONSTRULIDER.COM.BR</x:v>
      </x:c>
      <x:c r="F72" s="23" t="str">
        <x:v>1639451462</x:v>
      </x:c>
      <x:c r="G72" s="28" t="str">
        <x:v>Destinatário</x:v>
      </x:c>
      <x:c r="H72" s="29" t="n">
        <x:v>46139</x:v>
      </x:c>
      <x:c r="I72" s="29" t="n">
        <x:v>46062</x:v>
      </x:c>
      <x:c r="J72" s="30" t="str">
        <x:v>CLEBER</x:v>
      </x:c>
      <x:c r="K72" s="30" t="str">
        <x:v>COMERCIAL</x:v>
      </x:c>
      <x:c r="L72" s="30" t="str">
        <x:v>ADMINISTRATIVO@SERTAOZINHOCONSTRULIDER.COM.BR</x:v>
      </x:c>
      <x:c r="M72" s="30" t="str">
        <x:v>1639451462</x:v>
      </x:c>
    </x:row>
    <x:row r="73">
      <x:c r="A73" s="27" t="n">
        <x:v>32195</x:v>
      </x:c>
      <x:c r="B73" s="23" t="str">
        <x:v>HERALDO MATERIAIS PARA CONSTRUCAO LTDA</x:v>
      </x:c>
      <x:c r="C73" s="25" t="str">
        <x:f>"48061651000118"</x:f>
        <x:v>48061651000118</x:v>
      </x:c>
      <x:c r="D73" s="23" t="str">
        <x:v>BILAC</x:v>
      </x:c>
      <x:c r="E73" s="23" t="str">
        <x:v>SOCIETARIO@ESCRITORIOIPIRANGA.COM.BR</x:v>
      </x:c>
      <x:c r="F73" s="23" t="str">
        <x:v>1836591423</x:v>
      </x:c>
      <x:c r="G73" s="28" t="str">
        <x:v>Destinatário</x:v>
      </x:c>
      <x:c r="H73" s="29" t="n">
        <x:v>46128</x:v>
      </x:c>
      <x:c r="I73" s="29" t="n">
        <x:v>46062</x:v>
      </x:c>
      <x:c r="J73" s="30" t="str">
        <x:v>HERALDO MATERIAS PARA CONST LTDA</x:v>
      </x:c>
      <x:c r="K73" s="30" t="str">
        <x:v>LOGISTICA</x:v>
      </x:c>
      <x:c r="L73" s="30" t="str">
        <x:v>SOCIETARIO@ESCRITORIOIPIRANGA.COM.BR</x:v>
      </x:c>
      <x:c r="M73" s="30" t="str">
        <x:v>1836591423</x:v>
      </x:c>
    </x:row>
    <x:row r="74">
      <x:c r="A74" s="27" t="n">
        <x:v>32196</x:v>
      </x:c>
      <x:c r="B74" s="23" t="str">
        <x:v>KEYLLA FERNANDA ALMEIDA CORREA LTDA</x:v>
      </x:c>
      <x:c r="C74" s="25" t="str">
        <x:f>"45458199000134"</x:f>
        <x:v>45458199000134</x:v>
      </x:c>
      <x:c r="D74" s="23" t="str">
        <x:v>VOTORANTIM</x:v>
      </x:c>
      <x:c r="E74" s="23" t="str">
        <x:v>KEYLLACORREA2@GMAIL.COM</x:v>
      </x:c>
      <x:c r="F74" s="23" t="str"/>
      <x:c r="G74" s="28" t="str">
        <x:v>Destinatário</x:v>
      </x:c>
      <x:c r="H74" s="29" t="n">
        <x:v>46104</x:v>
      </x:c>
      <x:c r="I74" s="29" t="n">
        <x:v>46062</x:v>
      </x:c>
      <x:c r="J74" s="30" t="str"/>
      <x:c r="K74" s="30" t="str"/>
      <x:c r="L74" s="30" t="str"/>
      <x:c r="M74" s="30" t="str"/>
    </x:row>
    <x:row r="75">
      <x:c r="A75" s="27" t="n">
        <x:v>32198</x:v>
      </x:c>
      <x:c r="B75" s="23" t="str">
        <x:v>M.J.S. CONSTRUTORA E INCORPORADORA LTDA</x:v>
      </x:c>
      <x:c r="C75" s="25" t="str">
        <x:f>"15690511000150"</x:f>
        <x:v>15690511000150</x:v>
      </x:c>
      <x:c r="D75" s="23" t="str">
        <x:v>SÃO PAULO</x:v>
      </x:c>
      <x:c r="E75" s="23" t="str">
        <x:v>FINANCEIRO@MJS.COM.BR</x:v>
      </x:c>
      <x:c r="F75" s="23" t="str"/>
      <x:c r="G75" s="28" t="str">
        <x:v>Destinatário</x:v>
      </x:c>
      <x:c r="H75" s="29" t="n">
        <x:v>46104</x:v>
      </x:c>
      <x:c r="I75" s="29" t="n">
        <x:v>46063</x:v>
      </x:c>
      <x:c r="J75" s="30" t="str"/>
      <x:c r="K75" s="30" t="str"/>
      <x:c r="L75" s="30" t="str"/>
      <x:c r="M75" s="30" t="str"/>
    </x:row>
    <x:row r="76">
      <x:c r="A76" s="27" t="n">
        <x:v>32199</x:v>
      </x:c>
      <x:c r="B76" s="23" t="str">
        <x:v>IRAFER ACABAMENTOS LAR E CONSTRUCAO LTDA</x:v>
      </x:c>
      <x:c r="C76" s="25" t="str">
        <x:f>"28369875000184"</x:f>
        <x:v>28369875000184</x:v>
      </x:c>
      <x:c r="D76" s="23" t="str">
        <x:v>IRACEMÁPOLIS</x:v>
      </x:c>
      <x:c r="E76" s="23" t="str">
        <x:v>VENDASACABAMENTOS@IRAFERFERRAMENTAS.COM.BR</x:v>
      </x:c>
      <x:c r="F76" s="23" t="str">
        <x:v>1934565574</x:v>
      </x:c>
      <x:c r="G76" s="28" t="str">
        <x:v>Destinatário</x:v>
      </x:c>
      <x:c r="H76" s="29" t="n">
        <x:v>46136</x:v>
      </x:c>
      <x:c r="I76" s="29" t="n">
        <x:v>46063</x:v>
      </x:c>
      <x:c r="J76" s="30" t="str">
        <x:v>CLAUDEMIR</x:v>
      </x:c>
      <x:c r="K76" s="30" t="str">
        <x:v>COMERCIAL</x:v>
      </x:c>
      <x:c r="L76" s="30" t="str">
        <x:v>VENDAS@IRAFERFERRAMENTAS.COM.BR</x:v>
      </x:c>
      <x:c r="M76" s="30" t="str">
        <x:v>1934565574</x:v>
      </x:c>
    </x:row>
    <x:row r="77">
      <x:c r="A77" s="27" t="n">
        <x:v>32200</x:v>
      </x:c>
      <x:c r="B77" s="23" t="str">
        <x:v>LUPERPLAS INDUSTRIA E COMERCIO DE PLASTICOS LTDA</x:v>
      </x:c>
      <x:c r="C77" s="25" t="str">
        <x:f>"00029898000120"</x:f>
        <x:v>00029898000120</x:v>
      </x:c>
      <x:c r="D77" s="23" t="str">
        <x:v>SÃO CARLOS</x:v>
      </x:c>
      <x:c r="E77" s="23" t="str">
        <x:v>luperplas@luperplas.com.br</x:v>
      </x:c>
      <x:c r="F77" s="23" t="str">
        <x:v>1633638000</x:v>
      </x:c>
      <x:c r="G77" s="28" t="str">
        <x:v>Destinatário</x:v>
      </x:c>
      <x:c r="H77" s="29" t="n">
        <x:v>46139</x:v>
      </x:c>
      <x:c r="I77" s="29" t="n">
        <x:v>46063</x:v>
      </x:c>
      <x:c r="J77" s="30" t="str">
        <x:v>DOMINGOS</x:v>
      </x:c>
      <x:c r="K77" s="30" t="str">
        <x:v>LOGISTICA</x:v>
      </x:c>
      <x:c r="L77" s="30" t="str">
        <x:v>logistica@luperplas.com.br</x:v>
      </x:c>
      <x:c r="M77" s="30" t="str">
        <x:v>1633638000</x:v>
      </x:c>
    </x:row>
    <x:row r="78">
      <x:c r="A78" s="27" t="n">
        <x:v>32201</x:v>
      </x:c>
      <x:c r="B78" s="23" t="str">
        <x:v>TINTAS HETHAL LTDA</x:v>
      </x:c>
      <x:c r="C78" s="25" t="str">
        <x:f>"64706876000130"</x:f>
        <x:v>64706876000130</x:v>
      </x:c>
      <x:c r="D78" s="23" t="str">
        <x:v>SOROCABA</x:v>
      </x:c>
      <x:c r="E78" s="23" t="str">
        <x:v>ALARECONTABILIDADE@GMAIL.COM</x:v>
      </x:c>
      <x:c r="F78" s="23" t="str"/>
      <x:c r="G78" s="28" t="str">
        <x:v>Destinatário</x:v>
      </x:c>
      <x:c r="H78" s="29" t="n">
        <x:v>46135</x:v>
      </x:c>
      <x:c r="I78" s="29" t="n">
        <x:v>46063</x:v>
      </x:c>
      <x:c r="J78" s="30" t="str">
        <x:v>HEBER</x:v>
      </x:c>
      <x:c r="K78" s="30" t="str">
        <x:v>ADMINISTRATIVO - NEGOCIA FRETE</x:v>
      </x:c>
      <x:c r="L78" s="30" t="str">
        <x:v>ALARECONTABILIDADE@GMAIL.COM</x:v>
      </x:c>
      <x:c r="M78" s="30" t="str">
        <x:v>15988149404</x:v>
      </x:c>
    </x:row>
    <x:row r="79">
      <x:c r="A79" s="27" t="n">
        <x:v>32209</x:v>
      </x:c>
      <x:c r="B79" s="23" t="str">
        <x:v>LACS TRATORES DISTRIBUIDORA DE PECAS LTDA</x:v>
      </x:c>
      <x:c r="C79" s="25" t="str">
        <x:f>"31507110000178"</x:f>
        <x:v>31507110000178</x:v>
      </x:c>
      <x:c r="D79" s="23" t="str">
        <x:v>SÃO PAULO</x:v>
      </x:c>
      <x:c r="E79" s="23" t="str">
        <x:v>vendas@lacstratores.com.br</x:v>
      </x:c>
      <x:c r="F79" s="23" t="str">
        <x:v>1123865892</x:v>
      </x:c>
      <x:c r="G79" s="28" t="str">
        <x:v>Destinatário</x:v>
      </x:c>
      <x:c r="H79" s="29" t="n">
        <x:v>46135</x:v>
      </x:c>
      <x:c r="I79" s="29" t="n">
        <x:v>46064</x:v>
      </x:c>
      <x:c r="J79" s="30" t="str">
        <x:v>HENRIQUE</x:v>
      </x:c>
      <x:c r="K79" s="30" t="str">
        <x:v>COMERCIAL</x:v>
      </x:c>
      <x:c r="L79" s="30" t="str">
        <x:v>vendas@lacstratores.com.br</x:v>
      </x:c>
      <x:c r="M79" s="30" t="str">
        <x:v>1123865892</x:v>
      </x:c>
    </x:row>
    <x:row r="80">
      <x:c r="A80" s="27" t="n">
        <x:v>32210</x:v>
      </x:c>
      <x:c r="B80" s="23" t="str">
        <x:v>MATCONST MATERIAIS PARA CONSTRUCAO LTDA</x:v>
      </x:c>
      <x:c r="C80" s="25" t="str">
        <x:f>"59366088000102"</x:f>
        <x:v>59366088000102</x:v>
      </x:c>
      <x:c r="D80" s="23" t="str">
        <x:v>CAMPINAS</x:v>
      </x:c>
      <x:c r="E80" s="23" t="str">
        <x:v>fatimaassessoriacontabil@gmail.com</x:v>
      </x:c>
      <x:c r="F80" s="23" t="str">
        <x:v>1932232013</x:v>
      </x:c>
      <x:c r="G80" s="28" t="str">
        <x:v>Destinatário</x:v>
      </x:c>
      <x:c r="H80" s="29" t="n">
        <x:v>46142</x:v>
      </x:c>
      <x:c r="I80" s="29" t="n">
        <x:v>46064</x:v>
      </x:c>
      <x:c r="J80" s="30" t="str">
        <x:v>JORGE</x:v>
      </x:c>
      <x:c r="K80" s="30" t="str">
        <x:v>COMERCIAL</x:v>
      </x:c>
      <x:c r="L80" s="30" t="str">
        <x:v>matconst-cpscampinas@uol.com.br</x:v>
      </x:c>
      <x:c r="M80" s="30" t="str">
        <x:v>19991987826</x:v>
      </x:c>
    </x:row>
    <x:row r="81">
      <x:c r="A81" s="27" t="n">
        <x:v>32213</x:v>
      </x:c>
      <x:c r="B81" s="23" t="str">
        <x:v>VANIA DOS SANTOS BARBOZA TELES</x:v>
      </x:c>
      <x:c r="C81" s="25" t="str">
        <x:f>"44978342000156"</x:f>
        <x:v>44978342000156</x:v>
      </x:c>
      <x:c r="D81" s="23" t="str">
        <x:v>JÚLIO MESQUITA</x:v>
      </x:c>
      <x:c r="E81" s="23" t="str">
        <x:v>vaniab.micaela@hotmail.com</x:v>
      </x:c>
      <x:c r="F81" s="23" t="str">
        <x:v>14997516028</x:v>
      </x:c>
      <x:c r="G81" s="28" t="str">
        <x:v>Destinatário</x:v>
      </x:c>
      <x:c r="H81" s="29" t="n">
        <x:v>46149</x:v>
      </x:c>
      <x:c r="I81" s="29" t="n">
        <x:v>46065</x:v>
      </x:c>
      <x:c r="J81" s="30" t="str">
        <x:v>VANIA</x:v>
      </x:c>
      <x:c r="K81" s="30" t="str">
        <x:v>ADMINISTRATIVO - NEGOCIA FRETE</x:v>
      </x:c>
      <x:c r="L81" s="30" t="str">
        <x:v>vaniab.micaela@hotmail.com</x:v>
      </x:c>
      <x:c r="M81" s="30" t="str">
        <x:v>1111111111
14997516028</x:v>
      </x:c>
    </x:row>
    <x:row r="82">
      <x:c r="A82" s="27" t="n">
        <x:v>32220</x:v>
      </x:c>
      <x:c r="B82" s="23" t="str">
        <x:v>VOLVO EQUIPAMENTOS DE CONSTRUCAO LATIN AMERICA LTDA.</x:v>
      </x:c>
      <x:c r="C82" s="25" t="str">
        <x:f>"29307609000190"</x:f>
        <x:v>29307609000190</x:v>
      </x:c>
      <x:c r="D82" s="23" t="str">
        <x:v>PEDERNEIRAS</x:v>
      </x:c>
      <x:c r="E82" s="23" t="str">
        <x:v>comunicacaopederneiras@volvo.com</x:v>
      </x:c>
      <x:c r="F82" s="23" t="str">
        <x:v>1422129763</x:v>
      </x:c>
      <x:c r="G82" s="28" t="str">
        <x:v>Destinatário</x:v>
      </x:c>
      <x:c r="H82" s="29" t="n">
        <x:v>46141</x:v>
      </x:c>
      <x:c r="I82" s="29" t="n">
        <x:v>46065</x:v>
      </x:c>
      <x:c r="J82" s="30" t="str">
        <x:v>AMBAS AS PESSOAS RESPONDEM</x:v>
      </x:c>
      <x:c r="K82" s="30" t="str">
        <x:v>LOGISTICA</x:v>
      </x:c>
      <x:c r="L82" s="30" t="str">
        <x:v>sdi.vceped@volvo.com</x:v>
      </x:c>
      <x:c r="M82" s="30" t="str">
        <x:v>1422129600</x:v>
      </x:c>
    </x:row>
    <x:row r="83">
      <x:c r="A83" s="27" t="n">
        <x:v>32223</x:v>
      </x:c>
      <x:c r="B83" s="23" t="str">
        <x:v>UNIMEDPIRACICABA SOCIEDADE COOP SERVICOS MEDICOS</x:v>
      </x:c>
      <x:c r="C83" s="25" t="str">
        <x:f>"44803922000293"</x:f>
        <x:v>44803922000293</x:v>
      </x:c>
      <x:c r="D83" s="23" t="str">
        <x:v>PIRACICABA</x:v>
      </x:c>
      <x:c r="E83" s="23" t="str">
        <x:v>diretoria@unimedpiracicaba.com.br</x:v>
      </x:c>
      <x:c r="F83" s="23" t="str"/>
      <x:c r="G83" s="28" t="str">
        <x:v>Destinatário</x:v>
      </x:c>
      <x:c r="H83" s="29" t="n">
        <x:v>46168</x:v>
      </x:c>
      <x:c r="I83" s="29" t="n">
        <x:v>46066</x:v>
      </x:c>
      <x:c r="J83" s="30" t="str">
        <x:v>PROPRIETARIOQ</x:v>
      </x:c>
      <x:c r="K83" s="30" t="str">
        <x:v>COMERCIAL</x:v>
      </x:c>
      <x:c r="L83" s="30" t="str">
        <x:v>diretoria@unimedpiracicaba.com.br</x:v>
      </x:c>
      <x:c r="M83" s="30" t="str">
        <x:v>1933653651</x:v>
      </x:c>
    </x:row>
    <x:row r="84">
      <x:c r="A84" s="27" t="n">
        <x:v>32224</x:v>
      </x:c>
      <x:c r="B84" s="23" t="str">
        <x:v>RR CASSANIGA COMERCIO DE TINTAS LTDA</x:v>
      </x:c>
      <x:c r="C84" s="25" t="str">
        <x:f>"27881915001181"</x:f>
        <x:v>27881915001181</x:v>
      </x:c>
      <x:c r="D84" s="23" t="str">
        <x:v>INDAIATUBA</x:v>
      </x:c>
      <x:c r="E84" s="23" t="str">
        <x:v>CONTABILIDADE@PEZZUOL.COM.BR</x:v>
      </x:c>
      <x:c r="F84" s="23" t="str"/>
      <x:c r="G84" s="28" t="str">
        <x:v>Destinatário</x:v>
      </x:c>
      <x:c r="H84" s="29" t="n">
        <x:v>46104</x:v>
      </x:c>
      <x:c r="I84" s="29" t="n">
        <x:v>46066</x:v>
      </x:c>
      <x:c r="J84" s="30" t="str"/>
      <x:c r="K84" s="30" t="str"/>
      <x:c r="L84" s="30" t="str"/>
      <x:c r="M84" s="30" t="str"/>
    </x:row>
    <x:row r="85">
      <x:c r="A85" s="27" t="n">
        <x:v>32227</x:v>
      </x:c>
      <x:c r="B85" s="23" t="str">
        <x:v>RIZATO TINTAS E FERRAMENTAS E REPRESENTACAO COMERCIAL LTDA</x:v>
      </x:c>
      <x:c r="C85" s="25" t="str">
        <x:f>"52572597000304"</x:f>
        <x:v>52572597000304</x:v>
      </x:c>
      <x:c r="D85" s="23" t="str">
        <x:v>TATUÍ</x:v>
      </x:c>
      <x:c r="E85" s="23" t="str">
        <x:v>naoinformado@naoinformado.ni</x:v>
      </x:c>
      <x:c r="F85" s="23" t="str">
        <x:v>1534519812</x:v>
      </x:c>
      <x:c r="G85" s="28" t="str">
        <x:v>Destinatário</x:v>
      </x:c>
      <x:c r="H85" s="29" t="n">
        <x:v>46104</x:v>
      </x:c>
      <x:c r="I85" s="29" t="n">
        <x:v>46066</x:v>
      </x:c>
      <x:c r="J85" s="30" t="str"/>
      <x:c r="K85" s="30" t="str"/>
      <x:c r="L85" s="30" t="str"/>
      <x:c r="M85" s="30" t="str"/>
    </x:row>
    <x:row r="86">
      <x:c r="A86" s="27" t="n">
        <x:v>32228</x:v>
      </x:c>
      <x:c r="B86" s="23" t="str">
        <x:v>COMERCIAL MILTON MARTINS LTDA</x:v>
      </x:c>
      <x:c r="C86" s="25" t="str">
        <x:f>"08717515000119"</x:f>
        <x:v>08717515000119</x:v>
      </x:c>
      <x:c r="D86" s="23" t="str">
        <x:v>SÃO PAULO</x:v>
      </x:c>
      <x:c r="E86" s="23" t="str">
        <x:v>nfe@miltparts.com.br</x:v>
      </x:c>
      <x:c r="F86" s="23" t="str">
        <x:v>1133467702</x:v>
      </x:c>
      <x:c r="G86" s="28" t="str">
        <x:v>Destinatário</x:v>
      </x:c>
      <x:c r="H86" s="29" t="n">
        <x:v>46147</x:v>
      </x:c>
      <x:c r="I86" s="29" t="n">
        <x:v>46067</x:v>
      </x:c>
      <x:c r="J86" s="30" t="str">
        <x:v>RODRIGO</x:v>
      </x:c>
      <x:c r="K86" s="30" t="str">
        <x:v>COMERCIAL</x:v>
      </x:c>
      <x:c r="L86" s="30" t="str">
        <x:v>comercial@miltparts.com.br</x:v>
      </x:c>
      <x:c r="M86" s="30" t="str">
        <x:v>1133467702</x:v>
      </x:c>
    </x:row>
    <x:row r="87">
      <x:c r="A87" s="27" t="n">
        <x:v>32229</x:v>
      </x:c>
      <x:c r="B87" s="23" t="str">
        <x:v>IMPLANTA GALPOES PRE FABRICADOS LTDA</x:v>
      </x:c>
      <x:c r="C87" s="25" t="str">
        <x:f>"44175161000191"</x:f>
        <x:v>44175161000191</x:v>
      </x:c>
      <x:c r="D87" s="23" t="str">
        <x:v>LORENA</x:v>
      </x:c>
      <x:c r="E87" s="23" t="str">
        <x:v>contato@implantaprefab.com.br</x:v>
      </x:c>
      <x:c r="F87" s="23" t="str">
        <x:v>1231526765</x:v>
      </x:c>
      <x:c r="G87" s="28" t="str">
        <x:v>Destinatário</x:v>
      </x:c>
      <x:c r="H87" s="29" t="n">
        <x:v>46135</x:v>
      </x:c>
      <x:c r="I87" s="29" t="n">
        <x:v>46072</x:v>
      </x:c>
      <x:c r="J87" s="30" t="str">
        <x:v>RENATA</x:v>
      </x:c>
      <x:c r="K87" s="30" t="str">
        <x:v>ADMINISTRATIVO - NEGOCIA FRETE</x:v>
      </x:c>
      <x:c r="L87" s="30" t="str">
        <x:v>implantapo@gmail.com</x:v>
      </x:c>
      <x:c r="M87" s="30" t="str">
        <x:v>12983060030</x:v>
      </x:c>
    </x:row>
    <x:row r="88">
      <x:c r="A88" s="27" t="n">
        <x:v>32230</x:v>
      </x:c>
      <x:c r="B88" s="23" t="str">
        <x:v>LUDICOR COMERCIO DE TINTAS LTDA</x:v>
      </x:c>
      <x:c r="C88" s="25" t="str">
        <x:f>"54244443000157"</x:f>
        <x:v>54244443000157</x:v>
      </x:c>
      <x:c r="D88" s="23" t="str">
        <x:v>SÃO CARLOS</x:v>
      </x:c>
      <x:c r="E88" s="23" t="str">
        <x:v>vendas@ludicortintas.com.br</x:v>
      </x:c>
      <x:c r="F88" s="23" t="str">
        <x:v>1133729932</x:v>
      </x:c>
      <x:c r="G88" s="28" t="str">
        <x:v>Destinatário</x:v>
      </x:c>
      <x:c r="H88" s="29" t="n">
        <x:v>46140</x:v>
      </x:c>
      <x:c r="I88" s="29" t="n">
        <x:v>46069</x:v>
      </x:c>
      <x:c r="J88" s="30" t="str">
        <x:v>DIEGO</x:v>
      </x:c>
      <x:c r="K88" s="30" t="str">
        <x:v>ADMINISTRATIVO - NEGOCIA FRETE</x:v>
      </x:c>
      <x:c r="L88" s="30" t="str">
        <x:v>vendas@ludicortintas.com.br</x:v>
      </x:c>
      <x:c r="M88" s="30" t="str">
        <x:v>1633723340</x:v>
      </x:c>
    </x:row>
    <x:row r="89">
      <x:c r="A89" s="27" t="n">
        <x:v>32232</x:v>
      </x:c>
      <x:c r="B89" s="23" t="str">
        <x:v>PERSI COM E IND DE TRANS E MAT ELETRICOS LTDA</x:v>
      </x:c>
      <x:c r="C89" s="25" t="str">
        <x:f>"32168821000128"</x:f>
        <x:v>32168821000128</x:v>
      </x:c>
      <x:c r="D89" s="23" t="str">
        <x:v>JUNDIAÍ</x:v>
      </x:c>
      <x:c r="E89" s="23" t="str">
        <x:v>COMPRAS@SILTRAFO.COM.BR</x:v>
      </x:c>
      <x:c r="F89" s="23" t="str">
        <x:v>1139648294</x:v>
      </x:c>
      <x:c r="G89" s="28" t="str">
        <x:v>Destinatário</x:v>
      </x:c>
      <x:c r="H89" s="29" t="n">
        <x:v>46160</x:v>
      </x:c>
      <x:c r="I89" s="29" t="n">
        <x:v>46071</x:v>
      </x:c>
      <x:c r="J89" s="30" t="str">
        <x:v>EDUARDO</x:v>
      </x:c>
      <x:c r="K89" s="30" t="str">
        <x:v>LOGISTICA</x:v>
      </x:c>
      <x:c r="L89" s="30" t="str">
        <x:v>contato@gessopersi.com.br</x:v>
      </x:c>
      <x:c r="M89" s="30" t="str">
        <x:v>1139648294</x:v>
      </x:c>
    </x:row>
    <x:row r="90">
      <x:c r="A90" s="27" t="n">
        <x:v>32233</x:v>
      </x:c>
      <x:c r="B90" s="23" t="str">
        <x:v>LYMK HOLDING LTDA</x:v>
      </x:c>
      <x:c r="C90" s="25" t="str">
        <x:f>"57793537000173"</x:f>
        <x:v>57793537000173</x:v>
      </x:c>
      <x:c r="D90" s="23" t="str">
        <x:v>SÃO PAULO</x:v>
      </x:c>
      <x:c r="E90" s="23" t="str">
        <x:v>FALECOM@TAXBASE.COM.BR</x:v>
      </x:c>
      <x:c r="F90" s="23" t="str"/>
      <x:c r="G90" s="28" t="str">
        <x:v>Destinatário</x:v>
      </x:c>
      <x:c r="H90" s="29" t="n">
        <x:v>46104</x:v>
      </x:c>
      <x:c r="I90" s="29" t="n">
        <x:v>46071</x:v>
      </x:c>
      <x:c r="J90" s="30" t="str"/>
      <x:c r="K90" s="30" t="str"/>
      <x:c r="L90" s="30" t="str"/>
      <x:c r="M90" s="30" t="str"/>
    </x:row>
    <x:row r="91">
      <x:c r="A91" s="27" t="n">
        <x:v>32234</x:v>
      </x:c>
      <x:c r="B91" s="23" t="str">
        <x:v>FATECH AUTOMACAO COMERCIO E SERVICOS LTDA</x:v>
      </x:c>
      <x:c r="C91" s="25" t="str">
        <x:f>"63992833000104"</x:f>
        <x:v>63992833000104</x:v>
      </x:c>
      <x:c r="D91" s="23" t="str">
        <x:v>INDAIATUBA</x:v>
      </x:c>
      <x:c r="E91" s="23" t="str">
        <x:v>IARA.FATECHMANUTENCAO@GMAIL.COM</x:v>
      </x:c>
      <x:c r="F91" s="23" t="str">
        <x:v>11912808991</x:v>
      </x:c>
      <x:c r="G91" s="28" t="str">
        <x:v>Destinatário</x:v>
      </x:c>
      <x:c r="H91" s="29" t="n">
        <x:v>46184</x:v>
      </x:c>
      <x:c r="I91" s="29" t="n">
        <x:v>46149</x:v>
      </x:c>
      <x:c r="J91" s="30" t="str">
        <x:v>FABIO</x:v>
      </x:c>
      <x:c r="K91" s="30" t="str">
        <x:v>COMERCIAL</x:v>
      </x:c>
      <x:c r="L91" s="30" t="str">
        <x:v>IARA.FATECHMANUTENCAO@GMAIL.COM</x:v>
      </x:c>
      <x:c r="M91" s="30" t="str">
        <x:v>11912808991
11912808991</x:v>
      </x:c>
    </x:row>
    <x:row r="92">
      <x:c r="A92" s="27" t="n">
        <x:v>32235</x:v>
      </x:c>
      <x:c r="B92" s="23" t="str">
        <x:v>PREVENTIVE COMERCIO E SERVICOS LTDA</x:v>
      </x:c>
      <x:c r="C92" s="25" t="str">
        <x:f>"51129806000115"</x:f>
        <x:v>51129806000115</x:v>
      </x:c>
      <x:c r="D92" s="23" t="str">
        <x:v>JUNDIAÍ</x:v>
      </x:c>
      <x:c r="E92" s="23" t="str">
        <x:v>edson@preventiveservice.com.br</x:v>
      </x:c>
      <x:c r="F92" s="23" t="str">
        <x:v>11971066886</x:v>
      </x:c>
      <x:c r="G92" s="28" t="str">
        <x:v>Destinatário</x:v>
      </x:c>
      <x:c r="H92" s="29" t="n">
        <x:v>46135</x:v>
      </x:c>
      <x:c r="I92" s="29" t="n">
        <x:v>46102</x:v>
      </x:c>
      <x:c r="J92" s="30" t="str">
        <x:v>EDSON</x:v>
      </x:c>
      <x:c r="K92" s="30" t="str">
        <x:v>COMERCIAL</x:v>
      </x:c>
      <x:c r="L92" s="30" t="str">
        <x:v>comercial@preventiveservice.com.br</x:v>
      </x:c>
      <x:c r="M92" s="30" t="str">
        <x:v>11971066886</x:v>
      </x:c>
    </x:row>
    <x:row r="93">
      <x:c r="A93" s="27" t="n">
        <x:v>32237</x:v>
      </x:c>
      <x:c r="B93" s="23" t="str">
        <x:v>ZAMBONI PECAS AGRICOLAS LTDA</x:v>
      </x:c>
      <x:c r="C93" s="25" t="str">
        <x:f>"44024316000199"</x:f>
        <x:v>44024316000199</x:v>
      </x:c>
      <x:c r="D93" s="23" t="str">
        <x:v>NOVO HORIZONTE</x:v>
      </x:c>
      <x:c r="E93" s="23" t="str">
        <x:v>aczambonime@yahoo.com.br</x:v>
      </x:c>
      <x:c r="F93" s="23" t="str">
        <x:v>1735424556</x:v>
      </x:c>
      <x:c r="G93" s="28" t="str">
        <x:v>Destinatário</x:v>
      </x:c>
      <x:c r="H93" s="29" t="n">
        <x:v>46135</x:v>
      </x:c>
      <x:c r="I93" s="29" t="n">
        <x:v>46071</x:v>
      </x:c>
      <x:c r="J93" s="30" t="str">
        <x:v>AMANDA</x:v>
      </x:c>
      <x:c r="K93" s="30" t="str">
        <x:v>ADMINISTRATIVO - NEGOCIA FRETE</x:v>
      </x:c>
      <x:c r="L93" s="30" t="str">
        <x:v>aczambonime@yahoo.com.br</x:v>
      </x:c>
      <x:c r="M93" s="30" t="str">
        <x:v>17997922631</x:v>
      </x:c>
    </x:row>
    <x:row r="94">
      <x:c r="A94" s="27" t="n">
        <x:v>32238</x:v>
      </x:c>
      <x:c r="B94" s="23" t="str">
        <x:v>SERVICO SOCIAL DO COMERCIO ADM REGIONAL ESTADO DE SP</x:v>
      </x:c>
      <x:c r="C94" s="25" t="str">
        <x:f>"03667884003499"</x:f>
        <x:v>03667884003499</x:v>
      </x:c>
      <x:c r="D94" s="23" t="str">
        <x:v>PRESIDENTE PRUDENTE</x:v>
      </x:c>
      <x:c r="E94" s="23" t="str">
        <x:v>ti@ti.com.br</x:v>
      </x:c>
      <x:c r="F94" s="23" t="str"/>
      <x:c r="G94" s="28" t="str">
        <x:v>Destinatário</x:v>
      </x:c>
      <x:c r="H94" s="29" t="n">
        <x:v>46104</x:v>
      </x:c>
      <x:c r="I94" s="29" t="n">
        <x:v>46072</x:v>
      </x:c>
      <x:c r="J94" s="30" t="str"/>
      <x:c r="K94" s="30" t="str"/>
      <x:c r="L94" s="30" t="str"/>
      <x:c r="M94" s="30" t="str"/>
    </x:row>
    <x:row r="95">
      <x:c r="A95" s="27" t="n">
        <x:v>32239</x:v>
      </x:c>
      <x:c r="B95" s="23" t="str">
        <x:v>CAIO HENRIQUE DE SOUZA BRITO 34565255839</x:v>
      </x:c>
      <x:c r="C95" s="25" t="str">
        <x:f>"45562102000139"</x:f>
        <x:v>45562102000139</x:v>
      </x:c>
      <x:c r="D95" s="23" t="str">
        <x:v>MARÍLIA</x:v>
      </x:c>
      <x:c r="E95" s="23" t="str">
        <x:v>contabilpham@gmail.com</x:v>
      </x:c>
      <x:c r="F95" s="23" t="str">
        <x:v>1496346337</x:v>
      </x:c>
      <x:c r="G95" s="28" t="str">
        <x:v>Destinatário</x:v>
      </x:c>
      <x:c r="H95" s="29" t="n">
        <x:v>46147</x:v>
      </x:c>
      <x:c r="I95" s="29" t="n">
        <x:v>46071</x:v>
      </x:c>
      <x:c r="J95" s="30" t="str">
        <x:v>CAIO</x:v>
      </x:c>
      <x:c r="K95" s="30" t="str">
        <x:v>COMERCIAL</x:v>
      </x:c>
      <x:c r="L95" s="30" t="str">
        <x:v>caiohsbadmf@gmail.com</x:v>
      </x:c>
      <x:c r="M95" s="30" t="str">
        <x:v>1496346337</x:v>
      </x:c>
    </x:row>
    <x:row r="96">
      <x:c r="A96" s="27" t="n">
        <x:v>32242</x:v>
      </x:c>
      <x:c r="B96" s="23" t="str">
        <x:v>MCR COMERCIO DE PLASTICOS E LONAS LTDA</x:v>
      </x:c>
      <x:c r="C96" s="25" t="str">
        <x:f>"42093705000140"</x:f>
        <x:v>42093705000140</x:v>
      </x:c>
      <x:c r="D96" s="23" t="str">
        <x:v>RIO CLARO</x:v>
      </x:c>
      <x:c r="E96" s="23" t="str">
        <x:v>nf@gmail.com</x:v>
      </x:c>
      <x:c r="F96" s="23" t="str">
        <x:v>19996094956</x:v>
      </x:c>
      <x:c r="G96" s="28" t="str">
        <x:v>Destinatário</x:v>
      </x:c>
      <x:c r="H96" s="29" t="n">
        <x:v>46146</x:v>
      </x:c>
      <x:c r="I96" s="29" t="n">
        <x:v>46071</x:v>
      </x:c>
      <x:c r="J96" s="30" t="str">
        <x:v>MARCELO</x:v>
      </x:c>
      <x:c r="K96" s="30" t="str">
        <x:v>ADMINISTRATIVO - NEGOCIA FRETE</x:v>
      </x:c>
      <x:c r="L96" s="30" t="str">
        <x:v>mcr.plasticos.lonas@gmail.com</x:v>
      </x:c>
      <x:c r="M96" s="30" t="str">
        <x:v>19996094956</x:v>
      </x:c>
    </x:row>
    <x:row r="97">
      <x:c r="A97" s="27" t="n">
        <x:v>32252</x:v>
      </x:c>
      <x:c r="B97" s="23" t="str">
        <x:v>SCHIPPERS DO BRASIL IMPORTACAO, EXPORTACAO E COMERCIO DE PRODUTOS AGROPECUARIOS E SERVICOS DE REVISAO E MANUTENCAO EM EQUIPAMENTOS LTDA</x:v>
      </x:c>
      <x:c r="C97" s="25" t="str">
        <x:f>"18192113000100"</x:f>
        <x:v>18192113000100</x:v>
      </x:c>
      <x:c r="D97" s="23" t="str">
        <x:v>RIBEIRÃO PRETO</x:v>
      </x:c>
      <x:c r="E97" s="23" t="str">
        <x:v>contato@schippers.com.br</x:v>
      </x:c>
      <x:c r="F97" s="23" t="str">
        <x:v>1633293054</x:v>
      </x:c>
      <x:c r="G97" s="28" t="str">
        <x:v>Destinatário</x:v>
      </x:c>
      <x:c r="H97" s="29" t="n">
        <x:v>46147</x:v>
      </x:c>
      <x:c r="I97" s="29" t="n">
        <x:v>46072</x:v>
      </x:c>
      <x:c r="J97" s="30" t="str">
        <x:v>FABRICIO</x:v>
      </x:c>
      <x:c r="K97" s="30" t="str">
        <x:v>EXPEDICAO</x:v>
      </x:c>
      <x:c r="L97" s="30" t="str">
        <x:v>s.oliveira@schippers.com.br</x:v>
      </x:c>
      <x:c r="M97" s="30" t="str">
        <x:v>1633293053</x:v>
      </x:c>
    </x:row>
    <x:row r="98">
      <x:c r="A98" s="27" t="n">
        <x:v>32254</x:v>
      </x:c>
      <x:c r="B98" s="23" t="str">
        <x:v>TUPAN TINTAS - LTDA</x:v>
      </x:c>
      <x:c r="C98" s="25" t="str">
        <x:f>"60487763000130"</x:f>
        <x:v>60487763000130</x:v>
      </x:c>
      <x:c r="D98" s="23" t="str">
        <x:v>TUPÃ</x:v>
      </x:c>
      <x:c r="E98" s="23" t="str">
        <x:v>sac@tupan.com.br</x:v>
      </x:c>
      <x:c r="F98" s="23" t="str">
        <x:v>1496507745</x:v>
      </x:c>
      <x:c r="G98" s="28" t="str">
        <x:v>Destinatário</x:v>
      </x:c>
      <x:c r="H98" s="29" t="n">
        <x:v>46125</x:v>
      </x:c>
      <x:c r="I98" s="29" t="n">
        <x:v>46072</x:v>
      </x:c>
      <x:c r="J98" s="30" t="str">
        <x:v>SAC TUPAN</x:v>
      </x:c>
      <x:c r="K98" s="30" t="str">
        <x:v>ADMINISTRATIVO - NEGOCIA FRETE</x:v>
      </x:c>
      <x:c r="L98" s="30" t="str">
        <x:v>sac@tupan.com.br</x:v>
      </x:c>
      <x:c r="M98" s="30" t="str">
        <x:v>14996507745</x:v>
      </x:c>
    </x:row>
    <x:row r="99">
      <x:c r="A99" s="27" t="n">
        <x:v>32256</x:v>
      </x:c>
      <x:c r="B99" s="23" t="str">
        <x:v>JAU 01 EMPREENDIMENTOS IMOBILIARIOS SPE LTDA</x:v>
      </x:c>
      <x:c r="C99" s="25" t="str">
        <x:f>"52093109000114"</x:f>
        <x:v>52093109000114</x:v>
      </x:c>
      <x:c r="D99" s="23" t="str">
        <x:v>JAÚ</x:v>
      </x:c>
      <x:c r="E99" s="23" t="str">
        <x:v>PROCESSOS@ESCRITORIOVENUS.COM.BR</x:v>
      </x:c>
      <x:c r="F99" s="23" t="str">
        <x:v>3591464138</x:v>
      </x:c>
      <x:c r="G99" s="28" t="str">
        <x:v>Destinatário</x:v>
      </x:c>
      <x:c r="H99" s="29" t="n">
        <x:v>46104</x:v>
      </x:c>
      <x:c r="I99" s="29" t="n">
        <x:v>46073</x:v>
      </x:c>
      <x:c r="J99" s="30" t="str"/>
      <x:c r="K99" s="30" t="str"/>
      <x:c r="L99" s="30" t="str"/>
      <x:c r="M99" s="30" t="str"/>
    </x:row>
    <x:row r="100">
      <x:c r="A100" s="27" t="n">
        <x:v>32257</x:v>
      </x:c>
      <x:c r="B100" s="23" t="str">
        <x:v>MGR ARQUITETURA E CONSTRUCAO LTDA</x:v>
      </x:c>
      <x:c r="C100" s="25" t="str">
        <x:f>"09228249000123"</x:f>
        <x:v>09228249000123</x:v>
      </x:c>
      <x:c r="D100" s="23" t="str">
        <x:v>SÃO BERNARDO DO CAMPO</x:v>
      </x:c>
      <x:c r="E100" s="23" t="str">
        <x:v>mgr@terra.com.br</x:v>
      </x:c>
      <x:c r="F100" s="23" t="str">
        <x:v>11940295460</x:v>
      </x:c>
      <x:c r="G100" s="28" t="str">
        <x:v>Destinatário</x:v>
      </x:c>
      <x:c r="H100" s="29" t="n">
        <x:v>46104</x:v>
      </x:c>
      <x:c r="I100" s="29" t="n">
        <x:v>46073</x:v>
      </x:c>
      <x:c r="J100" s="30" t="str"/>
      <x:c r="K100" s="30" t="str"/>
      <x:c r="L100" s="30" t="str"/>
      <x:c r="M100" s="30" t="str"/>
    </x:row>
    <x:row r="101">
      <x:c r="A101" s="27" t="n">
        <x:v>32258</x:v>
      </x:c>
      <x:c r="B101" s="23" t="str">
        <x:v>IMPACTO DISTRIBUIDORA DE MATERIAIS PARA CONSTRUCAO LTDA</x:v>
      </x:c>
      <x:c r="C101" s="25" t="str">
        <x:f>"04959007000196"</x:f>
        <x:v>04959007000196</x:v>
      </x:c>
      <x:c r="D101" s="23" t="str">
        <x:v>SOROCABA</x:v>
      </x:c>
      <x:c r="E101" s="23" t="str">
        <x:v>CRISTINAFERREIRA@IMPACTODIST.COM.BR</x:v>
      </x:c>
      <x:c r="F101" s="23" t="str">
        <x:v>1534163080</x:v>
      </x:c>
      <x:c r="G101" s="28" t="str">
        <x:v>Destinatário</x:v>
      </x:c>
      <x:c r="H101" s="29" t="n">
        <x:v>46136</x:v>
      </x:c>
      <x:c r="I101" s="29" t="n">
        <x:v>46073</x:v>
      </x:c>
      <x:c r="J101" s="30" t="str">
        <x:v>ANDERSON</x:v>
      </x:c>
      <x:c r="K101" s="30" t="str">
        <x:v>LOGISTICA</x:v>
      </x:c>
      <x:c r="L101" s="30" t="str">
        <x:v>operacoes@impactodist.com.br</x:v>
      </x:c>
      <x:c r="M101" s="30" t="str">
        <x:v>1534163080</x:v>
      </x:c>
    </x:row>
    <x:row r="102">
      <x:c r="A102" s="27" t="n">
        <x:v>32262</x:v>
      </x:c>
      <x:c r="B102" s="23" t="str">
        <x:v>ELISEU RODRIGUES BARROSO</x:v>
      </x:c>
      <x:c r="C102" s="25" t="str">
        <x:f>"07265860000104"</x:f>
        <x:v>07265860000104</x:v>
      </x:c>
      <x:c r="D102" s="23" t="str">
        <x:v>VOTORANTIM</x:v>
      </x:c>
      <x:c r="E102" s="23" t="str">
        <x:v>GISELE.MAGAZINE@GMAIL.COM</x:v>
      </x:c>
      <x:c r="F102" s="23" t="str"/>
      <x:c r="G102" s="28" t="str">
        <x:v>Destinatário</x:v>
      </x:c>
      <x:c r="H102" s="29" t="n">
        <x:v>46104</x:v>
      </x:c>
      <x:c r="I102" s="29" t="n">
        <x:v>46076</x:v>
      </x:c>
      <x:c r="J102" s="30" t="str"/>
      <x:c r="K102" s="30" t="str"/>
      <x:c r="L102" s="30" t="str"/>
      <x:c r="M102" s="30" t="str"/>
    </x:row>
    <x:row r="103">
      <x:c r="A103" s="27" t="n">
        <x:v>32264</x:v>
      </x:c>
      <x:c r="B103" s="23" t="str">
        <x:v>INCORPORADORA MF TERRAS V SPE LTDA</x:v>
      </x:c>
      <x:c r="C103" s="25" t="str">
        <x:f>"57333892000160"</x:f>
        <x:v>57333892000160</x:v>
      </x:c>
      <x:c r="D103" s="23" t="str">
        <x:v>MARÍLIA</x:v>
      </x:c>
      <x:c r="E103" s="23" t="str">
        <x:v>TI@TI.COM.BR</x:v>
      </x:c>
      <x:c r="F103" s="23" t="str">
        <x:v>14997245847</x:v>
      </x:c>
      <x:c r="G103" s="28" t="str">
        <x:v>Destinatário</x:v>
      </x:c>
      <x:c r="H103" s="29" t="n">
        <x:v>46104</x:v>
      </x:c>
      <x:c r="I103" s="29" t="n">
        <x:v>46076</x:v>
      </x:c>
      <x:c r="J103" s="30" t="str"/>
      <x:c r="K103" s="30" t="str"/>
      <x:c r="L103" s="30" t="str"/>
      <x:c r="M103" s="30" t="str"/>
    </x:row>
    <x:row r="104">
      <x:c r="A104" s="27" t="n">
        <x:v>32267</x:v>
      </x:c>
      <x:c r="B104" s="23" t="str">
        <x:v>SCHREIBER FOODS DO BRASIL IND ALIMENTICIA LTDA</x:v>
      </x:c>
      <x:c r="C104" s="25" t="str">
        <x:f>"02995367000460"</x:f>
        <x:v>02995367000460</x:v>
      </x:c>
      <x:c r="D104" s="23" t="str">
        <x:v>PORTO FELIZ</x:v>
      </x:c>
      <x:c r="E104" s="23" t="str">
        <x:v>SIMONE.SEGURO@SCHREIBERFOODS.COM</x:v>
      </x:c>
      <x:c r="F104" s="23" t="str"/>
      <x:c r="G104" s="28" t="str">
        <x:v>Destinatário</x:v>
      </x:c>
      <x:c r="H104" s="29" t="n">
        <x:v>46104</x:v>
      </x:c>
      <x:c r="I104" s="29" t="n">
        <x:v>46076</x:v>
      </x:c>
      <x:c r="J104" s="30" t="str"/>
      <x:c r="K104" s="30" t="str"/>
      <x:c r="L104" s="30" t="str"/>
      <x:c r="M104" s="30" t="str"/>
    </x:row>
    <x:row r="105">
      <x:c r="A105" s="27" t="n">
        <x:v>32269</x:v>
      </x:c>
      <x:c r="B105" s="23" t="str">
        <x:v>MARQUI &amp; VENTURINI COMERCIO DE MATERIAIS PARA PINTURA LTDA</x:v>
      </x:c>
      <x:c r="C105" s="25" t="str">
        <x:f>"11284739000431"</x:f>
        <x:v>11284739000431</x:v>
      </x:c>
      <x:c r="D105" s="23" t="str">
        <x:v>INDAIATUBA</x:v>
      </x:c>
      <x:c r="E105" s="23" t="str">
        <x:v>ALMYR@TAMANDARETINTAS.COM.BR</x:v>
      </x:c>
      <x:c r="F105" s="23" t="str">
        <x:v>1938946112</x:v>
      </x:c>
      <x:c r="G105" s="28" t="str">
        <x:v>Destinatário</x:v>
      </x:c>
      <x:c r="H105" s="29" t="n">
        <x:v>46129</x:v>
      </x:c>
      <x:c r="I105" s="29" t="n">
        <x:v>46076</x:v>
      </x:c>
      <x:c r="J105" s="30" t="str">
        <x:v>ALMYR</x:v>
      </x:c>
      <x:c r="K105" s="30" t="str">
        <x:v>ADMINISTRATIVO - NEGOCIA FRETE</x:v>
      </x:c>
      <x:c r="L105" s="30" t="str">
        <x:v>ALMYR@TAMANDARETINTAS.COM.BR</x:v>
      </x:c>
      <x:c r="M105" s="30" t="str">
        <x:v>1938946112</x:v>
      </x:c>
    </x:row>
    <x:row r="106">
      <x:c r="A106" s="27" t="n">
        <x:v>32274</x:v>
      </x:c>
      <x:c r="B106" s="23" t="str">
        <x:v>ESTRELA DO VALE CONSTRUCAO E ACABAMENTO LTDA</x:v>
      </x:c>
      <x:c r="C106" s="25" t="str">
        <x:f>"10561404000108"</x:f>
        <x:v>10561404000108</x:v>
      </x:c>
      <x:c r="D106" s="23" t="str">
        <x:v>INDAIATUBA</x:v>
      </x:c>
      <x:c r="E106" s="23" t="str">
        <x:v>FINANCEIRO@ESTRELADOVALECONSTRUCAO.COM.BR</x:v>
      </x:c>
      <x:c r="F106" s="23" t="str">
        <x:v>1938258864</x:v>
      </x:c>
      <x:c r="G106" s="28" t="str">
        <x:v>Destinatário</x:v>
      </x:c>
      <x:c r="H106" s="29" t="n">
        <x:v>46140</x:v>
      </x:c>
      <x:c r="I106" s="29" t="n">
        <x:v>46077</x:v>
      </x:c>
      <x:c r="J106" s="30" t="str">
        <x:v>GUILHERME</x:v>
      </x:c>
      <x:c r="K106" s="30" t="str">
        <x:v>LOGISTICA</x:v>
      </x:c>
      <x:c r="L106" s="30" t="str">
        <x:v>GUILHERME@ESTRELADOVALECONSTRUCAO.COM.BR</x:v>
      </x:c>
      <x:c r="M106" s="30" t="str">
        <x:v>1938258864</x:v>
      </x:c>
    </x:row>
    <x:row r="107">
      <x:c r="A107" s="27" t="n">
        <x:v>32279</x:v>
      </x:c>
      <x:c r="B107" s="23" t="str">
        <x:v>ROBSON PERES ROMERO</x:v>
      </x:c>
      <x:c r="C107" s="25" t="str">
        <x:f>"43410549000167"</x:f>
        <x:v>43410549000167</x:v>
      </x:c>
      <x:c r="D107" s="23" t="str">
        <x:v>SOROCABA</x:v>
      </x:c>
      <x:c r="E107" s="23" t="str">
        <x:v>LACAVA1@UOL.COM.BR</x:v>
      </x:c>
      <x:c r="F107" s="23" t="str">
        <x:v>1530331732</x:v>
      </x:c>
      <x:c r="G107" s="28" t="str">
        <x:v>Destinatário</x:v>
      </x:c>
      <x:c r="H107" s="29" t="n">
        <x:v>46104</x:v>
      </x:c>
      <x:c r="I107" s="29" t="n">
        <x:v>46078</x:v>
      </x:c>
      <x:c r="J107" s="30" t="str"/>
      <x:c r="K107" s="30" t="str"/>
      <x:c r="L107" s="30" t="str"/>
      <x:c r="M107" s="30" t="str"/>
    </x:row>
    <x:row r="108">
      <x:c r="A108" s="27" t="n">
        <x:v>32280</x:v>
      </x:c>
      <x:c r="B108" s="23" t="str">
        <x:v>RVE KARVAS 05 EMPREENDIMENTO IMOBILIARIO SPE LTDA</x:v>
      </x:c>
      <x:c r="C108" s="25" t="str">
        <x:f>"31868263000140"</x:f>
        <x:v>31868263000140</x:v>
      </x:c>
      <x:c r="D108" s="23" t="str">
        <x:v>SÃO PAULO</x:v>
      </x:c>
      <x:c r="E108" s="23" t="str">
        <x:v>HENRIQUE@RVE.COM.BR</x:v>
      </x:c>
      <x:c r="F108" s="23" t="str"/>
      <x:c r="G108" s="28" t="str">
        <x:v>Destinatário</x:v>
      </x:c>
      <x:c r="H108" s="29" t="n">
        <x:v>46104</x:v>
      </x:c>
      <x:c r="I108" s="29" t="n">
        <x:v>46078</x:v>
      </x:c>
      <x:c r="J108" s="30" t="str"/>
      <x:c r="K108" s="30" t="str"/>
      <x:c r="L108" s="30" t="str"/>
      <x:c r="M108" s="30" t="str"/>
    </x:row>
    <x:row r="109">
      <x:c r="A109" s="27" t="n">
        <x:v>32282</x:v>
      </x:c>
      <x:c r="B109" s="23" t="str">
        <x:v>BRIDGESTONE DO BRASIL INDUSTRIA E COMERCIO LTDA.</x:v>
      </x:c>
      <x:c r="C109" s="25" t="str">
        <x:f>"57497539002754"</x:f>
        <x:v>57497539002754</x:v>
      </x:c>
      <x:c r="D109" s="23" t="str">
        <x:v>CAMPINAS</x:v>
      </x:c>
      <x:c r="E109" s="23" t="str">
        <x:v>sacbr@la-bridgestone.com</x:v>
      </x:c>
      <x:c r="F109" s="23" t="str">
        <x:v>1937254800</x:v>
      </x:c>
      <x:c r="G109" s="28" t="str">
        <x:v>Destinatário</x:v>
      </x:c>
      <x:c r="H109" s="29" t="n">
        <x:v>46135</x:v>
      </x:c>
      <x:c r="I109" s="29" t="n">
        <x:v>46078</x:v>
      </x:c>
      <x:c r="J109" s="30" t="str">
        <x:v>BRIDGESTONE</x:v>
      </x:c>
      <x:c r="K109" s="30" t="str">
        <x:v>COMERCIAL</x:v>
      </x:c>
      <x:c r="L109" s="30" t="str">
        <x:v>sacbr@la-bridgestone.com</x:v>
      </x:c>
      <x:c r="M109" s="30" t="str">
        <x:v>1937254800</x:v>
      </x:c>
    </x:row>
    <x:row r="110">
      <x:c r="A110" s="27" t="n">
        <x:v>32287</x:v>
      </x:c>
      <x:c r="B110" s="23" t="str">
        <x:v>VILA FLORA AMERICANA II SPE LTDA</x:v>
      </x:c>
      <x:c r="C110" s="25" t="str">
        <x:f>"45600652000103"</x:f>
        <x:v>45600652000103</x:v>
      </x:c>
      <x:c r="D110" s="23" t="str">
        <x:v>INDAIATUBA</x:v>
      </x:c>
      <x:c r="E110" s="23" t="str">
        <x:v>SOCIETARIO@RIVCONTABILIDADE.COM.BR</x:v>
      </x:c>
      <x:c r="F110" s="23" t="str"/>
      <x:c r="G110" s="28" t="str">
        <x:v>Destinatário</x:v>
      </x:c>
      <x:c r="H110" s="29" t="n">
        <x:v>46134</x:v>
      </x:c>
      <x:c r="I110" s="29" t="n">
        <x:v>46079</x:v>
      </x:c>
      <x:c r="J110" s="30" t="str"/>
      <x:c r="K110" s="30" t="str"/>
      <x:c r="L110" s="30" t="str"/>
      <x:c r="M110" s="30" t="str"/>
    </x:row>
    <x:row r="111">
      <x:c r="A111" s="27" t="n">
        <x:v>32288</x:v>
      </x:c>
      <x:c r="B111" s="23" t="str">
        <x:v>C. SILVEIRA SA TINTAS LTDA</x:v>
      </x:c>
      <x:c r="C111" s="25" t="str">
        <x:f>"63328904000160"</x:f>
        <x:v>63328904000160</x:v>
      </x:c>
      <x:c r="D111" s="23" t="str">
        <x:v>ÁLVARES MACHADO</x:v>
      </x:c>
      <x:c r="E111" s="23" t="str">
        <x:v>ALEMAOTINTAS@TERRA.COM.BR</x:v>
      </x:c>
      <x:c r="F111" s="23" t="str">
        <x:v>1821432220</x:v>
      </x:c>
      <x:c r="G111" s="28" t="str">
        <x:v>Destinatário</x:v>
      </x:c>
      <x:c r="H111" s="29" t="n">
        <x:v>46142</x:v>
      </x:c>
      <x:c r="I111" s="29" t="n">
        <x:v>46080</x:v>
      </x:c>
      <x:c r="J111" s="30" t="str">
        <x:v>ALEMAO</x:v>
      </x:c>
      <x:c r="K111" s="30" t="str">
        <x:v>COMERCIAL</x:v>
      </x:c>
      <x:c r="L111" s="30" t="str">
        <x:v>ALEMAOTINTAS@TERRA.COM.BR</x:v>
      </x:c>
      <x:c r="M111" s="30" t="str">
        <x:v>18997878932</x:v>
      </x:c>
    </x:row>
    <x:row r="112">
      <x:c r="A112" s="27" t="n">
        <x:v>32292</x:v>
      </x:c>
      <x:c r="B112" s="23" t="str">
        <x:v>ADRIANA BADAIN OLIVEIRA</x:v>
      </x:c>
      <x:c r="C112" s="25" t="str">
        <x:f>"08333879000103"</x:f>
        <x:v>08333879000103</x:v>
      </x:c>
      <x:c r="D112" s="23" t="str">
        <x:v>SÃO BERNARDO DO CAMPO</x:v>
      </x:c>
      <x:c r="E112" s="23" t="str">
        <x:v>elianeandrade@contabilconsorte.com.br</x:v>
      </x:c>
      <x:c r="F112" s="23" t="str">
        <x:v>11999919500</x:v>
      </x:c>
      <x:c r="G112" s="28" t="str">
        <x:v>Destinatário</x:v>
      </x:c>
      <x:c r="H112" s="29" t="n">
        <x:v>46134</x:v>
      </x:c>
      <x:c r="I112" s="29" t="n">
        <x:v>46080</x:v>
      </x:c>
      <x:c r="J112" s="30" t="str">
        <x:v>ADRIANA</x:v>
      </x:c>
      <x:c r="K112" s="30" t="str">
        <x:v>ADMINISTRATIVO - NEGOCIA FRETE</x:v>
      </x:c>
      <x:c r="L112" s="30" t="str">
        <x:v>elianeandrade@contabilconsorte.com.br</x:v>
      </x:c>
      <x:c r="M112" s="30" t="str">
        <x:v>11999919500</x:v>
      </x:c>
    </x:row>
    <x:row r="113">
      <x:c r="A113" s="27" t="n">
        <x:v>32298</x:v>
      </x:c>
      <x:c r="B113" s="23" t="str">
        <x:v>SOUZA E MASTELLINI LTDA</x:v>
      </x:c>
      <x:c r="C113" s="25" t="str">
        <x:f>"15804087000127"</x:f>
        <x:v>15804087000127</x:v>
      </x:c>
      <x:c r="D113" s="23" t="str">
        <x:v>DRACENA</x:v>
      </x:c>
      <x:c r="E113" s="23" t="str">
        <x:v>COLORZIPCARTUCHOS@HOTMAIL.COM</x:v>
      </x:c>
      <x:c r="F113" s="23" t="str">
        <x:v>1838223866</x:v>
      </x:c>
      <x:c r="G113" s="28" t="str">
        <x:v>Destinatário</x:v>
      </x:c>
      <x:c r="H113" s="29" t="n">
        <x:v>46104</x:v>
      </x:c>
      <x:c r="I113" s="29" t="n">
        <x:v>46083</x:v>
      </x:c>
      <x:c r="J113" s="30" t="str"/>
      <x:c r="K113" s="30" t="str"/>
      <x:c r="L113" s="30" t="str"/>
      <x:c r="M113" s="30" t="str"/>
    </x:row>
    <x:row r="114">
      <x:c r="A114" s="27" t="n">
        <x:v>32300</x:v>
      </x:c>
      <x:c r="B114" s="23" t="str">
        <x:v>TOP LAR MATERIAIS ELETRICOS LTDA</x:v>
      </x:c>
      <x:c r="C114" s="25" t="str">
        <x:f>"61594739000163"</x:f>
        <x:v>61594739000163</x:v>
      </x:c>
      <x:c r="D114" s="23" t="str">
        <x:v>SOROCABA</x:v>
      </x:c>
      <x:c r="E114" s="23" t="str">
        <x:v>comercial.toplar2026@gmail.com</x:v>
      </x:c>
      <x:c r="F114" s="23" t="str">
        <x:v>1532234436</x:v>
      </x:c>
      <x:c r="G114" s="28" t="str">
        <x:v>Destinatário</x:v>
      </x:c>
      <x:c r="H114" s="29" t="n">
        <x:v>46134</x:v>
      </x:c>
      <x:c r="I114" s="29" t="n">
        <x:v>46083</x:v>
      </x:c>
      <x:c r="J114" s="30" t="str">
        <x:v>FELIPE</x:v>
      </x:c>
      <x:c r="K114" s="30" t="str">
        <x:v>COMERCIAL</x:v>
      </x:c>
      <x:c r="L114" s="30" t="str">
        <x:v>comercial.toplar2026@gmail.com</x:v>
      </x:c>
      <x:c r="M114" s="30" t="str">
        <x:v>1532234436</x:v>
      </x:c>
    </x:row>
    <x:row r="115">
      <x:c r="A115" s="27" t="n">
        <x:v>32305</x:v>
      </x:c>
      <x:c r="B115" s="23" t="str">
        <x:v>AILTON FILET GOUVEIA</x:v>
      </x:c>
      <x:c r="C115" s="25" t="str">
        <x:f>"54307933000155"</x:f>
        <x:v>54307933000155</x:v>
      </x:c>
      <x:c r="D115" s="23" t="str">
        <x:v>FLÓRIDA PAULISTA</x:v>
      </x:c>
      <x:c r="E115" s="23" t="str">
        <x:v>cruzeirodosul@ecruzeirodosul.com</x:v>
      </x:c>
      <x:c r="F115" s="23" t="str">
        <x:v>1897103389</x:v>
      </x:c>
      <x:c r="G115" s="28" t="str">
        <x:v>Destinatário</x:v>
      </x:c>
      <x:c r="H115" s="29" t="n">
        <x:v>46104</x:v>
      </x:c>
      <x:c r="I115" s="29" t="n">
        <x:v>46084</x:v>
      </x:c>
      <x:c r="J115" s="30" t="str"/>
      <x:c r="K115" s="30" t="str"/>
      <x:c r="L115" s="30" t="str"/>
      <x:c r="M115" s="30" t="str"/>
    </x:row>
    <x:row r="116">
      <x:c r="A116" s="27" t="n">
        <x:v>32306</x:v>
      </x:c>
      <x:c r="B116" s="23" t="str">
        <x:v>PIRACICABA DE TUPA MATERIAIS DE CONSTRUCAO LTDA</x:v>
      </x:c>
      <x:c r="C116" s="25" t="str">
        <x:f>"07039459000148"</x:f>
        <x:v>07039459000148</x:v>
      </x:c>
      <x:c r="D116" s="23" t="str">
        <x:v>TUPÃ</x:v>
      </x:c>
      <x:c r="E116" s="23" t="str">
        <x:v>comercialprata@terra.com.br</x:v>
      </x:c>
      <x:c r="F116" s="23" t="str">
        <x:v>1496695845</x:v>
      </x:c>
      <x:c r="G116" s="28" t="str">
        <x:v>Destinatário</x:v>
      </x:c>
      <x:c r="H116" s="29" t="n">
        <x:v>46104</x:v>
      </x:c>
      <x:c r="I116" s="29" t="n">
        <x:v>46084</x:v>
      </x:c>
      <x:c r="J116" s="30" t="str"/>
      <x:c r="K116" s="30" t="str"/>
      <x:c r="L116" s="30" t="str"/>
      <x:c r="M116" s="30" t="str"/>
    </x:row>
    <x:row r="117">
      <x:c r="A117" s="27" t="n">
        <x:v>32307</x:v>
      </x:c>
      <x:c r="B117" s="23" t="str">
        <x:v>ELETROLEMOS COM DE MATS ELETR E HIDRAUL LTDA</x:v>
      </x:c>
      <x:c r="C117" s="25" t="str">
        <x:f>"07518899000188"</x:f>
        <x:v>07518899000188</x:v>
      </x:c>
      <x:c r="D117" s="23" t="str">
        <x:v>ARAÇATUBA</x:v>
      </x:c>
      <x:c r="E117" s="23" t="str">
        <x:v>eletrolemos@gmail.com</x:v>
      </x:c>
      <x:c r="F117" s="23" t="str">
        <x:v>1836312154</x:v>
      </x:c>
      <x:c r="G117" s="28" t="str">
        <x:v>Destinatário</x:v>
      </x:c>
      <x:c r="H117" s="29" t="n">
        <x:v>46132</x:v>
      </x:c>
      <x:c r="I117" s="29" t="n">
        <x:v>46084</x:v>
      </x:c>
      <x:c r="J117" s="30" t="str">
        <x:v>ANTONIO</x:v>
      </x:c>
      <x:c r="K117" s="30" t="str">
        <x:v>ADMINISTRATIVO - NEGOCIA FRETE</x:v>
      </x:c>
      <x:c r="L117" s="30" t="str">
        <x:v>eletrolemos@gmail.com</x:v>
      </x:c>
      <x:c r="M117" s="30" t="str">
        <x:v>1836312154</x:v>
      </x:c>
    </x:row>
    <x:row r="118">
      <x:c r="A118" s="27" t="n">
        <x:v>32309</x:v>
      </x:c>
      <x:c r="B118" s="23" t="str">
        <x:v>REZENDE &amp; REZENDE FRANCHISING LTDA</x:v>
      </x:c>
      <x:c r="C118" s="25" t="str">
        <x:f>"29513279000199"</x:f>
        <x:v>29513279000199</x:v>
      </x:c>
      <x:c r="D118" s="23" t="str">
        <x:v>VALINHOS</x:v>
      </x:c>
      <x:c r="E118" s="23" t="str">
        <x:v>fernando.triboni@trulynolen.com.br</x:v>
      </x:c>
      <x:c r="F118" s="23" t="str">
        <x:v>11989223373</x:v>
      </x:c>
      <x:c r="G118" s="28" t="str">
        <x:v>Destinatário</x:v>
      </x:c>
      <x:c r="H118" s="29" t="n">
        <x:v>46129</x:v>
      </x:c>
      <x:c r="I118" s="29" t="n">
        <x:v>46085</x:v>
      </x:c>
      <x:c r="J118" s="30" t="str">
        <x:v>FERNANDO</x:v>
      </x:c>
      <x:c r="K118" s="30" t="str">
        <x:v>ADMINISTRATIVO - NEGOCIA FRETE</x:v>
      </x:c>
      <x:c r="L118" s="30" t="str">
        <x:v>fernando.triboni@trulynolen.com.br</x:v>
      </x:c>
      <x:c r="M118" s="30" t="str">
        <x:v>11989223373</x:v>
      </x:c>
    </x:row>
    <x:row r="119">
      <x:c r="A119" s="27" t="n">
        <x:v>32312</x:v>
      </x:c>
      <x:c r="B119" s="23" t="str">
        <x:v>AQA VITTA 15 DESENVOLVIMENTO IMOBILIARIO SPE LTDA.</x:v>
      </x:c>
      <x:c r="C119" s="25" t="str">
        <x:f>"32079799000140"</x:f>
        <x:v>32079799000140</x:v>
      </x:c>
      <x:c r="D119" s="23" t="str">
        <x:v>ARARAQUARA</x:v>
      </x:c>
      <x:c r="E119" s="23" t="str">
        <x:v>ti@ti.com.br</x:v>
      </x:c>
      <x:c r="F119" s="23" t="str">
        <x:v>16997205918</x:v>
      </x:c>
      <x:c r="G119" s="28" t="str">
        <x:v>Destinatário</x:v>
      </x:c>
      <x:c r="H119" s="29" t="n">
        <x:v>46132</x:v>
      </x:c>
      <x:c r="I119" s="29" t="n">
        <x:v>46085</x:v>
      </x:c>
      <x:c r="J119" s="30" t="str">
        <x:v>VINICIUS
VINICIUS</x:v>
      </x:c>
      <x:c r="K119" s="30" t="str">
        <x:v>COMERCIAL
LOGISTICA</x:v>
      </x:c>
      <x:c r="L119" s="30" t="str">
        <x:v>vinimelo53@gmail.com
v@v.com.br</x:v>
      </x:c>
      <x:c r="M119" s="30" t="str">
        <x:v>16997205918
16997205918</x:v>
      </x:c>
    </x:row>
    <x:row r="120">
      <x:c r="A120" s="27" t="n">
        <x:v>32313</x:v>
      </x:c>
      <x:c r="B120" s="23" t="str">
        <x:v>RPO VITTA RESIDENCIAL 51 SPE LTDA</x:v>
      </x:c>
      <x:c r="C120" s="25" t="str">
        <x:f>"36515552000180"</x:f>
        <x:v>36515552000180</x:v>
      </x:c>
      <x:c r="D120" s="23" t="str">
        <x:v>RIBEIRÃO PRETO</x:v>
      </x:c>
      <x:c r="E120" s="23" t="str">
        <x:v>juridico@bild.com.br</x:v>
      </x:c>
      <x:c r="F120" s="23" t="str">
        <x:v>1638784700</x:v>
      </x:c>
      <x:c r="G120" s="28" t="str">
        <x:v>Destinatário</x:v>
      </x:c>
      <x:c r="H120" s="29" t="n">
        <x:v>46132</x:v>
      </x:c>
      <x:c r="I120" s="29" t="n">
        <x:v>46085</x:v>
      </x:c>
      <x:c r="J120" s="30" t="str">
        <x:v>MARCELO</x:v>
      </x:c>
      <x:c r="K120" s="30" t="str">
        <x:v>ADMINISTRATIVO - NEGOCIA FRETE</x:v>
      </x:c>
      <x:c r="L120" s="30" t="str">
        <x:v>juridico@bild.com.br</x:v>
      </x:c>
      <x:c r="M120" s="30" t="str">
        <x:v>16981779672</x:v>
      </x:c>
    </x:row>
    <x:row r="121">
      <x:c r="A121" s="27" t="n">
        <x:v>32314</x:v>
      </x:c>
      <x:c r="B121" s="23" t="str">
        <x:v>LOCALIZA RENT A CAR SA</x:v>
      </x:c>
      <x:c r="C121" s="25" t="str">
        <x:f>"16670085117931"</x:f>
        <x:v>16670085117931</x:v>
      </x:c>
      <x:c r="D121" s="23" t="str">
        <x:v>RIBEIRÃO PRETO</x:v>
      </x:c>
      <x:c r="E121" s="23" t="str">
        <x:v>localiza@localiza.com.br</x:v>
      </x:c>
      <x:c r="F121" s="23" t="str"/>
      <x:c r="G121" s="28" t="str">
        <x:v>Destinatário</x:v>
      </x:c>
      <x:c r="H121" s="29" t="n">
        <x:v>46104</x:v>
      </x:c>
      <x:c r="I121" s="29" t="n">
        <x:v>46085</x:v>
      </x:c>
      <x:c r="J121" s="30" t="str">
        <x:v>ANGELICA</x:v>
      </x:c>
      <x:c r="K121" s="30" t="str">
        <x:v>EXPEDICAO</x:v>
      </x:c>
      <x:c r="L121" s="30" t="str">
        <x:v>manutencaofiliais@localiza.com</x:v>
      </x:c>
      <x:c r="M121" s="30" t="str">
        <x:v>3197000445</x:v>
      </x:c>
    </x:row>
    <x:row r="122">
      <x:c r="A122" s="27" t="n">
        <x:v>32315</x:v>
      </x:c>
      <x:c r="B122" s="23" t="str">
        <x:v>HI RIBEIRAO PRETO HOTEIS E CONDOMINIOS LTDA</x:v>
      </x:c>
      <x:c r="C122" s="25" t="str">
        <x:f>"24207668000172"</x:f>
        <x:v>24207668000172</x:v>
      </x:c>
      <x:c r="D122" s="23" t="str">
        <x:v>RIBEIRÃO PRETO</x:v>
      </x:c>
      <x:c r="E122" s="23" t="str">
        <x:v>ti@ti.com.br</x:v>
      </x:c>
      <x:c r="F122" s="23" t="str">
        <x:v>16991173107</x:v>
      </x:c>
      <x:c r="G122" s="28" t="str">
        <x:v>Destinatário</x:v>
      </x:c>
      <x:c r="H122" s="29" t="n">
        <x:v>46136</x:v>
      </x:c>
      <x:c r="I122" s="29" t="n">
        <x:v>46085</x:v>
      </x:c>
      <x:c r="J122" s="30" t="str">
        <x:v>CM</x:v>
      </x:c>
      <x:c r="K122" s="30" t="str">
        <x:v>COMPRAS</x:v>
      </x:c>
      <x:c r="L122" s="30" t="str">
        <x:v>cm@cm.com.br</x:v>
      </x:c>
      <x:c r="M122" s="30" t="str">
        <x:v>16991173107</x:v>
      </x:c>
    </x:row>
    <x:row r="123">
      <x:c r="A123" s="27" t="n">
        <x:v>32318</x:v>
      </x:c>
      <x:c r="B123" s="23" t="str">
        <x:v>CONSTRUA MATERIAIS PARA CONSTRUCAO LTDA</x:v>
      </x:c>
      <x:c r="C123" s="25" t="str">
        <x:f>"52047637000480"</x:f>
        <x:v>52047637000480</x:v>
      </x:c>
      <x:c r="D123" s="23" t="str">
        <x:v>BAURU</x:v>
      </x:c>
      <x:c r="E123" s="23" t="str">
        <x:v>CONSTRUAMATERIAISBAURU@GMAIL.COM</x:v>
      </x:c>
      <x:c r="F123" s="23" t="str">
        <x:v>1432312121</x:v>
      </x:c>
      <x:c r="G123" s="28" t="str">
        <x:v>Destinatário</x:v>
      </x:c>
      <x:c r="H123" s="29" t="n">
        <x:v>46104</x:v>
      </x:c>
      <x:c r="I123" s="29" t="n">
        <x:v>46086</x:v>
      </x:c>
      <x:c r="J123" s="30" t="str"/>
      <x:c r="K123" s="30" t="str"/>
      <x:c r="L123" s="30" t="str"/>
      <x:c r="M123" s="30" t="str"/>
    </x:row>
    <x:row r="124">
      <x:c r="A124" s="27" t="n">
        <x:v>32319</x:v>
      </x:c>
      <x:c r="B124" s="23" t="str">
        <x:v>J.C. COMERCIAL E DISTRIBUIDORA LTDA</x:v>
      </x:c>
      <x:c r="C124" s="25" t="str">
        <x:f>"28891145000149"</x:f>
        <x:v>28891145000149</x:v>
      </x:c>
      <x:c r="D124" s="23" t="str">
        <x:v>FERNANDÓPOLIS</x:v>
      </x:c>
      <x:c r="E124" s="23" t="str">
        <x:v>JC-DISTRIBUIDORA@OUTLOOK.COM</x:v>
      </x:c>
      <x:c r="F124" s="23" t="str">
        <x:v>1121354444</x:v>
      </x:c>
      <x:c r="G124" s="28" t="str">
        <x:v>Destinatário</x:v>
      </x:c>
      <x:c r="H124" s="29" t="n">
        <x:v>46104</x:v>
      </x:c>
      <x:c r="I124" s="29" t="n">
        <x:v>46086</x:v>
      </x:c>
      <x:c r="J124" s="30" t="str"/>
      <x:c r="K124" s="30" t="str"/>
      <x:c r="L124" s="30" t="str"/>
      <x:c r="M124" s="30" t="str"/>
    </x:row>
    <x:row r="125">
      <x:c r="A125" s="27" t="n">
        <x:v>32320</x:v>
      </x:c>
      <x:c r="B125" s="23" t="str">
        <x:v>J.S.S CONSTRUTORA E MATERIAIS PARA CONSTRUCAO LTDA</x:v>
      </x:c>
      <x:c r="C125" s="25" t="str">
        <x:f>"35974519000155"</x:f>
        <x:v>35974519000155</x:v>
      </x:c>
      <x:c r="D125" s="23" t="str">
        <x:v>BIRIGUI</x:v>
      </x:c>
      <x:c r="E125" s="23" t="str">
        <x:v>JSSCONSTRUTORA02@HOTMAIL.COM</x:v>
      </x:c>
      <x:c r="F125" s="23" t="str">
        <x:v>18997412748</x:v>
      </x:c>
      <x:c r="G125" s="28" t="str">
        <x:v>Destinatário</x:v>
      </x:c>
      <x:c r="H125" s="29" t="n">
        <x:v>46132</x:v>
      </x:c>
      <x:c r="I125" s="29" t="n">
        <x:v>46086</x:v>
      </x:c>
      <x:c r="J125" s="30" t="str">
        <x:v>JSS</x:v>
      </x:c>
      <x:c r="K125" s="30" t="str">
        <x:v>COMERCIAL</x:v>
      </x:c>
      <x:c r="L125" s="30" t="str">
        <x:v>JSSCONSTRUTORA02@HOTMAIL.COM</x:v>
      </x:c>
      <x:c r="M125" s="30" t="str">
        <x:v>18997412748</x:v>
      </x:c>
    </x:row>
    <x:row r="126">
      <x:c r="A126" s="27" t="n">
        <x:v>32325</x:v>
      </x:c>
      <x:c r="B126" s="23" t="str">
        <x:v>RF MATCON ATACADISTA LTDA.</x:v>
      </x:c>
      <x:c r="C126" s="25" t="str">
        <x:f>"60251041000182"</x:f>
        <x:v>60251041000182</x:v>
      </x:c>
      <x:c r="D126" s="23" t="str">
        <x:v>SOROCABA</x:v>
      </x:c>
      <x:c r="E126" s="23" t="str">
        <x:v>LUNE.SOR@TERRA.COM.BR</x:v>
      </x:c>
      <x:c r="F126" s="23" t="str"/>
      <x:c r="G126" s="28" t="str">
        <x:v>Destinatário</x:v>
      </x:c>
      <x:c r="H126" s="29" t="n">
        <x:v>46104</x:v>
      </x:c>
      <x:c r="I126" s="29" t="n">
        <x:v>46086</x:v>
      </x:c>
      <x:c r="J126" s="30" t="str"/>
      <x:c r="K126" s="30" t="str"/>
      <x:c r="L126" s="30" t="str"/>
      <x:c r="M126" s="30" t="str"/>
    </x:row>
    <x:row r="127">
      <x:c r="A127" s="27" t="n">
        <x:v>32326</x:v>
      </x:c>
      <x:c r="B127" s="23" t="str">
        <x:v>SERVICO NACIONAL DE APRENDIZAGEM INDUSTRIAL</x:v>
      </x:c>
      <x:c r="C127" s="25" t="str">
        <x:f>"03774819005597"</x:f>
        <x:v>03774819005597</x:v>
      </x:c>
      <x:c r="D127" s="23" t="str">
        <x:v>RIBEIRÃO PRETO</x:v>
      </x:c>
      <x:c r="E127" s="23" t="str">
        <x:v>SENAIRIBEIRAOPRETO@SP.SENAI.BR</x:v>
      </x:c>
      <x:c r="F127" s="23" t="str">
        <x:v>1632387100</x:v>
      </x:c>
      <x:c r="G127" s="28" t="str">
        <x:v>Destinatário</x:v>
      </x:c>
      <x:c r="H127" s="29" t="n">
        <x:v>46104</x:v>
      </x:c>
      <x:c r="I127" s="29" t="n">
        <x:v>46086</x:v>
      </x:c>
      <x:c r="J127" s="30" t="str"/>
      <x:c r="K127" s="30" t="str"/>
      <x:c r="L127" s="30" t="str"/>
      <x:c r="M127" s="30" t="str"/>
    </x:row>
    <x:row r="128">
      <x:c r="A128" s="27" t="n">
        <x:v>32328</x:v>
      </x:c>
      <x:c r="B128" s="23" t="str">
        <x:v>RIAD ALI SAMMOUR</x:v>
      </x:c>
      <x:c r="C128" s="25" t="str">
        <x:f>"08021418000197"</x:f>
        <x:v>08021418000197</x:v>
      </x:c>
      <x:c r="D128" s="23" t="str">
        <x:v>COLINA</x:v>
      </x:c>
      <x:c r="E128" s="23" t="str">
        <x:v>marketing.fb@seuposto.com</x:v>
      </x:c>
      <x:c r="F128" s="23" t="str">
        <x:v>1196521236</x:v>
      </x:c>
      <x:c r="G128" s="28" t="str">
        <x:v>Destinatário</x:v>
      </x:c>
      <x:c r="H128" s="29" t="n">
        <x:v>46104</x:v>
      </x:c>
      <x:c r="I128" s="29" t="n">
        <x:v>46091</x:v>
      </x:c>
      <x:c r="J128" s="30" t="str"/>
      <x:c r="K128" s="30" t="str"/>
      <x:c r="L128" s="30" t="str"/>
      <x:c r="M128" s="30" t="str"/>
    </x:row>
    <x:row r="129">
      <x:c r="A129" s="27" t="n">
        <x:v>32330</x:v>
      </x:c>
      <x:c r="B129" s="23" t="str">
        <x:v>LUIZ ANTONIO DEFENDI GESSO</x:v>
      </x:c>
      <x:c r="C129" s="25" t="str">
        <x:f>"07565166000102"</x:f>
        <x:v>07565166000102</x:v>
      </x:c>
      <x:c r="D129" s="23" t="str">
        <x:v>RIBEIRÃO PRETO</x:v>
      </x:c>
      <x:c r="E129" s="23" t="str">
        <x:v>NF@LUIZ.COM.BR</x:v>
      </x:c>
      <x:c r="F129" s="23" t="str">
        <x:v>1639135103</x:v>
      </x:c>
      <x:c r="G129" s="28" t="str">
        <x:v>Destinatário</x:v>
      </x:c>
      <x:c r="H129" s="29" t="n">
        <x:v>46104</x:v>
      </x:c>
      <x:c r="I129" s="29" t="n">
        <x:v>46087</x:v>
      </x:c>
      <x:c r="J129" s="30" t="str"/>
      <x:c r="K129" s="30" t="str"/>
      <x:c r="L129" s="30" t="str"/>
      <x:c r="M129" s="30" t="str"/>
    </x:row>
    <x:row r="130">
      <x:c r="A130" s="27" t="n">
        <x:v>32331</x:v>
      </x:c>
      <x:c r="B130" s="23" t="str">
        <x:v>DIEGO CARVALHO MARCATI</x:v>
      </x:c>
      <x:c r="C130" s="25" t="str">
        <x:f>"11377885000169"</x:f>
        <x:v>11377885000169</x:v>
      </x:c>
      <x:c r="D130" s="23" t="str">
        <x:v>SANTA ERNESTINA</x:v>
      </x:c>
      <x:c r="E130" s="23" t="str">
        <x:v>escritorio.petrucelli@uol.com.br</x:v>
      </x:c>
      <x:c r="F130" s="23" t="str"/>
      <x:c r="G130" s="28" t="str">
        <x:v>Destinatário</x:v>
      </x:c>
      <x:c r="H130" s="29" t="n">
        <x:v>46104</x:v>
      </x:c>
      <x:c r="I130" s="29" t="n">
        <x:v>46087</x:v>
      </x:c>
      <x:c r="J130" s="30" t="str"/>
      <x:c r="K130" s="30" t="str"/>
      <x:c r="L130" s="30" t="str"/>
      <x:c r="M130" s="30" t="str"/>
    </x:row>
    <x:row r="131">
      <x:c r="A131" s="27" t="n">
        <x:v>32332</x:v>
      </x:c>
      <x:c r="B131" s="23" t="str">
        <x:v>PAULO CESAR DA SILVA MATERIAIS PARA CONSTRUCAO</x:v>
      </x:c>
      <x:c r="C131" s="25" t="str">
        <x:f>"05292117000100"</x:f>
        <x:v>05292117000100</x:v>
      </x:c>
      <x:c r="D131" s="23" t="str">
        <x:v>FRANCA</x:v>
      </x:c>
      <x:c r="E131" s="23" t="str">
        <x:v>wilsonjsouza@bol.com.br</x:v>
      </x:c>
      <x:c r="F131" s="23" t="str">
        <x:v>1637275577</x:v>
      </x:c>
      <x:c r="G131" s="28" t="str">
        <x:v>Destinatário</x:v>
      </x:c>
      <x:c r="H131" s="29" t="n">
        <x:v>46104</x:v>
      </x:c>
      <x:c r="I131" s="29" t="n">
        <x:v>46087</x:v>
      </x:c>
      <x:c r="J131" s="30" t="str"/>
      <x:c r="K131" s="30" t="str"/>
      <x:c r="L131" s="30" t="str"/>
      <x:c r="M131" s="30" t="str"/>
    </x:row>
    <x:row r="132">
      <x:c r="A132" s="27" t="n">
        <x:v>32334</x:v>
      </x:c>
      <x:c r="B132" s="23" t="str">
        <x:v>HENRIQUE FERREIRA TOZONI</x:v>
      </x:c>
      <x:c r="C132" s="25" t="str">
        <x:f>"43910848000160"</x:f>
        <x:v>43910848000160</x:v>
      </x:c>
      <x:c r="D132" s="23" t="str">
        <x:v>ASSIS</x:v>
      </x:c>
      <x:c r="E132" s="23" t="str">
        <x:v>henriquetozoniconstrucoes@gmail.com</x:v>
      </x:c>
      <x:c r="F132" s="23" t="str">
        <x:v>18998254296</x:v>
      </x:c>
      <x:c r="G132" s="28" t="str">
        <x:v>Destinatário</x:v>
      </x:c>
      <x:c r="H132" s="29" t="n">
        <x:v>46104</x:v>
      </x:c>
      <x:c r="I132" s="29" t="n">
        <x:v>46087</x:v>
      </x:c>
      <x:c r="J132" s="30" t="str"/>
      <x:c r="K132" s="30" t="str"/>
      <x:c r="L132" s="30" t="str"/>
      <x:c r="M132" s="30" t="str"/>
    </x:row>
    <x:row r="133">
      <x:c r="A133" s="27" t="n">
        <x:v>32341</x:v>
      </x:c>
      <x:c r="B133" s="23" t="str">
        <x:v>AMEGN PARTICIPACOES LTDA.</x:v>
      </x:c>
      <x:c r="C133" s="25" t="str">
        <x:f>"22948789000140"</x:f>
        <x:v>22948789000140</x:v>
      </x:c>
      <x:c r="D133" s="23" t="str">
        <x:v>LIMEIRA</x:v>
      </x:c>
      <x:c r="E133" s="23" t="str">
        <x:v>societario@squizzato.com.br</x:v>
      </x:c>
      <x:c r="F133" s="23" t="str">
        <x:v>19996935762</x:v>
      </x:c>
      <x:c r="G133" s="28" t="str">
        <x:v>Destinatário</x:v>
      </x:c>
      <x:c r="H133" s="29" t="n">
        <x:v>46132</x:v>
      </x:c>
      <x:c r="I133" s="29" t="n">
        <x:v>46090</x:v>
      </x:c>
      <x:c r="J133" s="30" t="str">
        <x:v>AMEGN</x:v>
      </x:c>
      <x:c r="K133" s="30" t="str">
        <x:v>COMERCIAL</x:v>
      </x:c>
      <x:c r="L133" s="30" t="str">
        <x:v>estagiario1@squizzato.com.br</x:v>
      </x:c>
      <x:c r="M133" s="30" t="str">
        <x:v>19996935762</x:v>
      </x:c>
    </x:row>
    <x:row r="134">
      <x:c r="A134" s="27" t="n">
        <x:v>32349</x:v>
      </x:c>
      <x:c r="B134" s="23" t="str">
        <x:v>TSUNO IMPORTS PECAS ACESSORIOS E SERVICOS LTDA</x:v>
      </x:c>
      <x:c r="C134" s="25" t="str">
        <x:f>"49172386000108"</x:f>
        <x:v>49172386000108</x:v>
      </x:c>
      <x:c r="D134" s="23" t="str">
        <x:v>GUARULHOS</x:v>
      </x:c>
      <x:c r="E134" s="23" t="str">
        <x:v>rafael@rvassessoriacontabil.com.br</x:v>
      </x:c>
      <x:c r="F134" s="23" t="str">
        <x:v>11932801922</x:v>
      </x:c>
      <x:c r="G134" s="28" t="str">
        <x:v>Destinatário</x:v>
      </x:c>
      <x:c r="H134" s="29" t="n">
        <x:v>46132</x:v>
      </x:c>
      <x:c r="I134" s="29" t="n">
        <x:v>46091</x:v>
      </x:c>
      <x:c r="J134" s="30" t="str">
        <x:v>RAFAEL</x:v>
      </x:c>
      <x:c r="K134" s="30" t="str">
        <x:v>COMERCIAL</x:v>
      </x:c>
      <x:c r="L134" s="30" t="str">
        <x:v>rafael@rvassessoriacontabil.com.br</x:v>
      </x:c>
      <x:c r="M134" s="30" t="str">
        <x:v>11932801922</x:v>
      </x:c>
    </x:row>
    <x:row r="135">
      <x:c r="A135" s="27" t="n">
        <x:v>32350</x:v>
      </x:c>
      <x:c r="B135" s="23" t="str">
        <x:v>COMERCIAL BIANCO LTDA</x:v>
      </x:c>
      <x:c r="C135" s="25" t="str">
        <x:f>"02436383000170"</x:f>
        <x:v>02436383000170</x:v>
      </x:c>
      <x:c r="D135" s="23" t="str">
        <x:v>GÁLIA</x:v>
      </x:c>
      <x:c r="E135" s="23" t="str">
        <x:v>ottonicar@bol.com.br</x:v>
      </x:c>
      <x:c r="F135" s="23" t="str">
        <x:v>1198923725</x:v>
      </x:c>
      <x:c r="G135" s="28" t="str">
        <x:v>Destinatário</x:v>
      </x:c>
      <x:c r="H135" s="29" t="n">
        <x:v>46104</x:v>
      </x:c>
      <x:c r="I135" s="29" t="n">
        <x:v>46091</x:v>
      </x:c>
      <x:c r="J135" s="30" t="str"/>
      <x:c r="K135" s="30" t="str"/>
      <x:c r="L135" s="30" t="str"/>
      <x:c r="M135" s="30" t="str"/>
    </x:row>
    <x:row r="136">
      <x:c r="A136" s="27" t="n">
        <x:v>32351</x:v>
      </x:c>
      <x:c r="B136" s="23" t="str">
        <x:v>EDUARDO MASSAMI WATANABE LTDA</x:v>
      </x:c>
      <x:c r="C136" s="25" t="str">
        <x:f>"34798305000102"</x:f>
        <x:v>34798305000102</x:v>
      </x:c>
      <x:c r="D136" s="23" t="str">
        <x:v>BASTOS</x:v>
      </x:c>
      <x:c r="E136" s="23" t="str">
        <x:v>baferbastos@gmail.com</x:v>
      </x:c>
      <x:c r="F136" s="23" t="str">
        <x:v>1496975925</x:v>
      </x:c>
      <x:c r="G136" s="28" t="str">
        <x:v>Destinatário</x:v>
      </x:c>
      <x:c r="H136" s="29" t="n">
        <x:v>46174</x:v>
      </x:c>
      <x:c r="I136" s="29" t="n">
        <x:v>46091</x:v>
      </x:c>
      <x:c r="J136" s="30" t="str">
        <x:v>EDUARDO</x:v>
      </x:c>
      <x:c r="K136" s="30" t="str">
        <x:v>ADMINISTRATIVO - NEGOCIA FRETE</x:v>
      </x:c>
      <x:c r="L136" s="30" t="str">
        <x:v>basferbastos@gmail.com</x:v>
      </x:c>
      <x:c r="M136" s="30" t="str">
        <x:v>14997026933</x:v>
      </x:c>
    </x:row>
    <x:row r="137">
      <x:c r="A137" s="27" t="n">
        <x:v>32352</x:v>
      </x:c>
      <x:c r="B137" s="23" t="str">
        <x:v>NOVA CASTILHO CONSTRUTORA LTDA</x:v>
      </x:c>
      <x:c r="C137" s="25" t="str">
        <x:f>"01155139000177"</x:f>
        <x:v>01155139000177</x:v>
      </x:c>
      <x:c r="D137" s="23" t="str">
        <x:v>GENERAL SALGADO</x:v>
      </x:c>
      <x:c r="E137" s="23" t="str">
        <x:v>andremassuia80@gmail.com</x:v>
      </x:c>
      <x:c r="F137" s="23" t="str">
        <x:v>1147999655</x:v>
      </x:c>
      <x:c r="G137" s="28" t="str">
        <x:v>Destinatário</x:v>
      </x:c>
      <x:c r="H137" s="29" t="n">
        <x:v>46104</x:v>
      </x:c>
      <x:c r="I137" s="29" t="n">
        <x:v>46091</x:v>
      </x:c>
      <x:c r="J137" s="30" t="str"/>
      <x:c r="K137" s="30" t="str"/>
      <x:c r="L137" s="30" t="str"/>
      <x:c r="M137" s="30" t="str"/>
    </x:row>
    <x:row r="138">
      <x:c r="A138" s="27" t="n">
        <x:v>32354</x:v>
      </x:c>
      <x:c r="B138" s="23" t="str">
        <x:v>IRMAOS MUFFATO &amp; CIA LTDA</x:v>
      </x:c>
      <x:c r="C138" s="25" t="str">
        <x:f>"76430438011882"</x:f>
        <x:v>76430438011882</x:v>
      </x:c>
      <x:c r="D138" s="23" t="str">
        <x:v>SOROCABA</x:v>
      </x:c>
      <x:c r="E138" s="23" t="str">
        <x:v>clederson@grupomuffato.com.br</x:v>
      </x:c>
      <x:c r="F138" s="23" t="str">
        <x:v>4333711700</x:v>
      </x:c>
      <x:c r="G138" s="28" t="str">
        <x:v>Destinatário</x:v>
      </x:c>
      <x:c r="H138" s="29" t="n">
        <x:v>46132</x:v>
      </x:c>
      <x:c r="I138" s="29" t="n">
        <x:v>46093</x:v>
      </x:c>
      <x:c r="J138" s="30" t="str">
        <x:v>DEDERSON</x:v>
      </x:c>
      <x:c r="K138" s="30" t="str">
        <x:v>COMERCIAL</x:v>
      </x:c>
      <x:c r="L138" s="30" t="str">
        <x:v>clederson@grupomuffato.com.br</x:v>
      </x:c>
      <x:c r="M138" s="30" t="str">
        <x:v>4333711700</x:v>
      </x:c>
    </x:row>
    <x:row r="139">
      <x:c r="A139" s="27" t="n">
        <x:v>32361</x:v>
      </x:c>
      <x:c r="B139" s="23" t="str">
        <x:v>VAGALUMEN MATERIAIS ELETRICOS E SERVICOS LTDA</x:v>
      </x:c>
      <x:c r="C139" s="25" t="str">
        <x:f>"39366080000139"</x:f>
        <x:v>39366080000139</x:v>
      </x:c>
      <x:c r="D139" s="23" t="str">
        <x:v>ARARAS</x:v>
      </x:c>
      <x:c r="E139" s="23" t="str">
        <x:v>CONTABIL@ESCUNIVERSAL.COM.BR</x:v>
      </x:c>
      <x:c r="F139" s="23" t="str">
        <x:v>19999681920</x:v>
      </x:c>
      <x:c r="G139" s="28" t="str">
        <x:v>Destinatário</x:v>
      </x:c>
      <x:c r="H139" s="29" t="n">
        <x:v>46153</x:v>
      </x:c>
      <x:c r="I139" s="29" t="n">
        <x:v>46094</x:v>
      </x:c>
      <x:c r="J139" s="30" t="str">
        <x:v>RAFAEL</x:v>
      </x:c>
      <x:c r="K139" s="30" t="str">
        <x:v>LOGISTICA</x:v>
      </x:c>
      <x:c r="L139" s="30" t="str">
        <x:v>contato@vagalumen.com.br</x:v>
      </x:c>
      <x:c r="M139" s="30" t="str">
        <x:v>1999876407</x:v>
      </x:c>
    </x:row>
    <x:row r="140">
      <x:c r="A140" s="27" t="n">
        <x:v>32362</x:v>
      </x:c>
      <x:c r="B140" s="23" t="str">
        <x:v>VITORELI INDUSTRIA DE PECAS E ACESSORIOS PARA VEICULOS LTDA</x:v>
      </x:c>
      <x:c r="C140" s="25" t="str">
        <x:f>"61621373000174"</x:f>
        <x:v>61621373000174</x:v>
      </x:c>
      <x:c r="D140" s="23" t="str">
        <x:v>BÁLSAMO</x:v>
      </x:c>
      <x:c r="E140" s="23" t="str">
        <x:v>SIMONEVITORELI@HOTMAIL.COM</x:v>
      </x:c>
      <x:c r="F140" s="23" t="str">
        <x:v>17996143308</x:v>
      </x:c>
      <x:c r="G140" s="28" t="str">
        <x:v>Destinatário</x:v>
      </x:c>
      <x:c r="H140" s="29" t="n">
        <x:v>46153</x:v>
      </x:c>
      <x:c r="I140" s="29" t="n">
        <x:v>46094</x:v>
      </x:c>
      <x:c r="J140" s="30" t="str">
        <x:v>SIMONE</x:v>
      </x:c>
      <x:c r="K140" s="30" t="str">
        <x:v>ADMINISTRATIVO - NEGOCIA FRETE</x:v>
      </x:c>
      <x:c r="L140" s="30" t="str">
        <x:v>SIMONEVITORELI@HOTMAIL.COM</x:v>
      </x:c>
      <x:c r="M140" s="30" t="str">
        <x:v>17996143308</x:v>
      </x:c>
    </x:row>
    <x:row r="141">
      <x:c r="A141" s="27" t="n">
        <x:v>32365</x:v>
      </x:c>
      <x:c r="B141" s="23" t="str">
        <x:v>AGRISTAR DO BRASIL LTDA</x:v>
      </x:c>
      <x:c r="C141" s="25" t="str">
        <x:f>"33345950000107"</x:f>
        <x:v>33345950000107</x:v>
      </x:c>
      <x:c r="D141" s="23" t="str">
        <x:v>SANTO ANTÔNIO DE POSSE</x:v>
      </x:c>
      <x:c r="E141" s="23" t="str">
        <x:v>ALEX.MORENO@AGRISTAR.COM.BR</x:v>
      </x:c>
      <x:c r="F141" s="23" t="str"/>
      <x:c r="G141" s="28" t="str">
        <x:v>Destinatário</x:v>
      </x:c>
      <x:c r="H141" s="29" t="n">
        <x:v>46104</x:v>
      </x:c>
      <x:c r="I141" s="29" t="n">
        <x:v>46094</x:v>
      </x:c>
      <x:c r="J141" s="30" t="str"/>
      <x:c r="K141" s="30" t="str"/>
      <x:c r="L141" s="30" t="str"/>
      <x:c r="M141" s="30" t="str"/>
    </x:row>
    <x:row r="142">
      <x:c r="A142" s="27" t="n">
        <x:v>32366</x:v>
      </x:c>
      <x:c r="B142" s="23" t="str">
        <x:v>J.J. DE ALENCAR GESSO LTDA</x:v>
      </x:c>
      <x:c r="C142" s="25" t="str">
        <x:f>"12666249000110"</x:f>
        <x:v>12666249000110</x:v>
      </x:c>
      <x:c r="D142" s="23" t="str">
        <x:v>JUNDIAÍ</x:v>
      </x:c>
      <x:c r="E142" s="23" t="str">
        <x:v>JJDEALENCAR.GESSO@HOTMAIL.COM</x:v>
      </x:c>
      <x:c r="F142" s="23" t="str">
        <x:v>1148170986</x:v>
      </x:c>
      <x:c r="G142" s="28" t="str">
        <x:v>Destinatário</x:v>
      </x:c>
      <x:c r="H142" s="29" t="n">
        <x:v>46150</x:v>
      </x:c>
      <x:c r="I142" s="29" t="n">
        <x:v>46094</x:v>
      </x:c>
      <x:c r="J142" s="30" t="str">
        <x:v>CARLENE</x:v>
      </x:c>
      <x:c r="K142" s="30" t="str">
        <x:v>COMERCIAL</x:v>
      </x:c>
      <x:c r="L142" s="30" t="str">
        <x:v>vendas.alencargesso@gmail.com</x:v>
      </x:c>
      <x:c r="M142" s="30" t="str">
        <x:v>11993100602</x:v>
      </x:c>
    </x:row>
    <x:row r="143">
      <x:c r="A143" s="27" t="n">
        <x:v>32367</x:v>
      </x:c>
      <x:c r="B143" s="23" t="str">
        <x:v>FERRAMENTAS LDI LTDA</x:v>
      </x:c>
      <x:c r="C143" s="25" t="str">
        <x:f>"56524790000169"</x:f>
        <x:v>56524790000169</x:v>
      </x:c>
      <x:c r="D143" s="23" t="str">
        <x:v>INDAIATUBA</x:v>
      </x:c>
      <x:c r="E143" s="23" t="str">
        <x:v>EBM@EBMCONTABIL.COM.BR</x:v>
      </x:c>
      <x:c r="F143" s="23" t="str">
        <x:v>19999390998</x:v>
      </x:c>
      <x:c r="G143" s="28" t="str">
        <x:v>Destinatário</x:v>
      </x:c>
      <x:c r="H143" s="29" t="n">
        <x:v>46135</x:v>
      </x:c>
      <x:c r="I143" s="29" t="n">
        <x:v>46094</x:v>
      </x:c>
      <x:c r="J143" s="30" t="str"/>
      <x:c r="K143" s="30" t="str"/>
      <x:c r="L143" s="30" t="str"/>
      <x:c r="M143" s="30" t="str"/>
    </x:row>
    <x:row r="144">
      <x:c r="A144" s="27" t="n">
        <x:v>32368</x:v>
      </x:c>
      <x:c r="B144" s="23" t="str">
        <x:v>IZILDA APARECIDA ZANETTI &amp; CIA LTDA</x:v>
      </x:c>
      <x:c r="C144" s="25" t="str">
        <x:f>"27254949000174"</x:f>
        <x:v>27254949000174</x:v>
      </x:c>
      <x:c r="D144" s="23" t="str">
        <x:v>PALMITAL</x:v>
      </x:c>
      <x:c r="E144" s="23" t="str">
        <x:v>atlanticocontabilidade@uol.com.br</x:v>
      </x:c>
      <x:c r="F144" s="23" t="str">
        <x:v>1899775076</x:v>
      </x:c>
      <x:c r="G144" s="28" t="str">
        <x:v>Destinatário</x:v>
      </x:c>
      <x:c r="H144" s="29" t="n">
        <x:v>46170</x:v>
      </x:c>
      <x:c r="I144" s="29" t="n">
        <x:v>46094</x:v>
      </x:c>
      <x:c r="J144" s="30" t="str">
        <x:v>IZILDA</x:v>
      </x:c>
      <x:c r="K144" s="30" t="str">
        <x:v>ADMINISTRATIVO - NEGOCIA FRETE</x:v>
      </x:c>
      <x:c r="L144" s="30" t="str">
        <x:v>mercadocolibri@hotmail.com</x:v>
      </x:c>
      <x:c r="M144" s="30" t="str">
        <x:v>1833514485</x:v>
      </x:c>
    </x:row>
    <x:row r="145">
      <x:c r="A145" s="27" t="n">
        <x:v>32369</x:v>
      </x:c>
      <x:c r="B145" s="23" t="str">
        <x:v>LUCAS CARDOZO SILVA SOROCABA</x:v>
      </x:c>
      <x:c r="C145" s="25" t="str">
        <x:f>"25088388000155"</x:f>
        <x:v>25088388000155</x:v>
      </x:c>
      <x:c r="D145" s="23" t="str">
        <x:v>SOROCABA</x:v>
      </x:c>
      <x:c r="E145" s="23" t="str">
        <x:v>CONTABILASSESSORIA2011@HOTMAIL.COM</x:v>
      </x:c>
      <x:c r="F145" s="23" t="str">
        <x:v>1533186776</x:v>
      </x:c>
      <x:c r="G145" s="28" t="str">
        <x:v>Destinatário</x:v>
      </x:c>
      <x:c r="H145" s="29" t="n">
        <x:v>46150</x:v>
      </x:c>
      <x:c r="I145" s="29" t="n">
        <x:v>46094</x:v>
      </x:c>
      <x:c r="J145" s="30" t="str">
        <x:v>LUCAS</x:v>
      </x:c>
      <x:c r="K145" s="30" t="str">
        <x:v>ADMINISTRATIVO - NEGOCIA FRETE</x:v>
      </x:c>
      <x:c r="L145" s="30" t="str">
        <x:v>lucascardozosilva@hotmail.com</x:v>
      </x:c>
      <x:c r="M145" s="30" t="str">
        <x:v>15997514669</x:v>
      </x:c>
    </x:row>
    <x:row r="146">
      <x:c r="A146" s="27" t="n">
        <x:v>32378</x:v>
      </x:c>
      <x:c r="B146" s="23" t="str">
        <x:v>CONSTRUTINTAS GUAICARA COMERCIO DE TINTAS LTDA</x:v>
      </x:c>
      <x:c r="C146" s="25" t="str">
        <x:f>"28521783000178"</x:f>
        <x:v>28521783000178</x:v>
      </x:c>
      <x:c r="D146" s="23" t="str">
        <x:v>GUAIÇARA</x:v>
      </x:c>
      <x:c r="E146" s="23" t="str">
        <x:v>CONSTRUTINTAS10@OUTLOOK.COM</x:v>
      </x:c>
      <x:c r="F146" s="23" t="str">
        <x:v>1435473060</x:v>
      </x:c>
      <x:c r="G146" s="28" t="str">
        <x:v>Destinatário</x:v>
      </x:c>
      <x:c r="H146" s="29" t="n">
        <x:v>46150</x:v>
      </x:c>
      <x:c r="I146" s="29" t="n">
        <x:v>46098</x:v>
      </x:c>
      <x:c r="J146" s="30" t="str">
        <x:v>THIAGO</x:v>
      </x:c>
      <x:c r="K146" s="30" t="str">
        <x:v>ADMINISTRATIVO - NEGOCIA FRETE</x:v>
      </x:c>
      <x:c r="L146" s="30" t="str">
        <x:v>CONSTRUTINTAS10@OUTLOOK.COM</x:v>
      </x:c>
      <x:c r="M146" s="30" t="str">
        <x:v>14981248110</x:v>
      </x:c>
    </x:row>
    <x:row r="147">
      <x:c r="A147" s="27" t="n">
        <x:v>32379</x:v>
      </x:c>
      <x:c r="B147" s="23" t="str">
        <x:v>MARCIO JOSE MIRANDA</x:v>
      </x:c>
      <x:c r="C147" s="25" t="str">
        <x:f>"26286683000189"</x:f>
        <x:v>26286683000189</x:v>
      </x:c>
      <x:c r="D147" s="23" t="str">
        <x:v>BAURU</x:v>
      </x:c>
      <x:c r="E147" s="23" t="str">
        <x:v>MACHADOMACHADOASSESSORIA@HOTMAIL.COM</x:v>
      </x:c>
      <x:c r="F147" s="23" t="str">
        <x:v>1496646042</x:v>
      </x:c>
      <x:c r="G147" s="28" t="str">
        <x:v>Destinatário</x:v>
      </x:c>
      <x:c r="H147" s="29" t="n">
        <x:v>46104</x:v>
      </x:c>
      <x:c r="I147" s="29" t="n">
        <x:v>46098</x:v>
      </x:c>
      <x:c r="J147" s="30" t="str"/>
      <x:c r="K147" s="30" t="str"/>
      <x:c r="L147" s="30" t="str"/>
      <x:c r="M147" s="30" t="str"/>
    </x:row>
    <x:row r="148">
      <x:c r="A148" s="27" t="n">
        <x:v>32381</x:v>
      </x:c>
      <x:c r="B148" s="23" t="str">
        <x:v>DESTRO CASA E CONSTRUCAO LTDA</x:v>
      </x:c>
      <x:c r="C148" s="25" t="str">
        <x:f>"57158859000302"</x:f>
        <x:v>57158859000302</x:v>
      </x:c>
      <x:c r="D148" s="23" t="str">
        <x:v>BRAGANÇA PAULISTA</x:v>
      </x:c>
      <x:c r="E148" s="23" t="str">
        <x:v>cd@destro.com.br</x:v>
      </x:c>
      <x:c r="F148" s="23" t="str">
        <x:v>1140332805</x:v>
      </x:c>
      <x:c r="G148" s="28" t="str">
        <x:v>Destinatário</x:v>
      </x:c>
      <x:c r="H148" s="29" t="n">
        <x:v>46150</x:v>
      </x:c>
      <x:c r="I148" s="29" t="n">
        <x:v>46099</x:v>
      </x:c>
      <x:c r="J148" s="30" t="str">
        <x:v>HENRIQUE</x:v>
      </x:c>
      <x:c r="K148" s="30" t="str">
        <x:v>EXPEDICAO</x:v>
      </x:c>
      <x:c r="L148" s="30" t="str">
        <x:v>cd@destro.com.br</x:v>
      </x:c>
      <x:c r="M148" s="30" t="str">
        <x:v>1140332805</x:v>
      </x:c>
    </x:row>
    <x:row r="149">
      <x:c r="A149" s="27" t="n">
        <x:v>32383</x:v>
      </x:c>
      <x:c r="B149" s="23" t="str">
        <x:v>VEREDAS MALLORCA EMPREENDIMENTOS IMOBILIARIOS - SPE - LTDA</x:v>
      </x:c>
      <x:c r="C149" s="25" t="str">
        <x:f>"53750010000100"</x:f>
        <x:v>53750010000100</x:v>
      </x:c>
      <x:c r="D149" s="23" t="str">
        <x:v>SÃO CARLOS</x:v>
      </x:c>
      <x:c r="E149" s="23" t="str">
        <x:v>ADMINISTRACAO@VILAURBE.COM.BR</x:v>
      </x:c>
      <x:c r="F149" s="23" t="str"/>
      <x:c r="G149" s="28" t="str">
        <x:v>Destinatário</x:v>
      </x:c>
      <x:c r="H149" s="29" t="n">
        <x:v>46104</x:v>
      </x:c>
      <x:c r="I149" s="29" t="n">
        <x:v>46099</x:v>
      </x:c>
      <x:c r="J149" s="30" t="str"/>
      <x:c r="K149" s="30" t="str"/>
      <x:c r="L149" s="30" t="str"/>
      <x:c r="M149" s="30" t="str"/>
    </x:row>
    <x:row r="150">
      <x:c r="A150" s="27" t="n">
        <x:v>32384</x:v>
      </x:c>
      <x:c r="B150" s="23" t="str">
        <x:v>S C MATERIAIS PARA CONSTRUCAO LTDA</x:v>
      </x:c>
      <x:c r="C150" s="25" t="str">
        <x:f>"39877259000150"</x:f>
        <x:v>39877259000150</x:v>
      </x:c>
      <x:c r="D150" s="23" t="str">
        <x:v>SÃO BERNARDO DO CAMPO</x:v>
      </x:c>
      <x:c r="E150" s="23" t="str">
        <x:v>contato@rjlimacontabilidade.com.br</x:v>
      </x:c>
      <x:c r="F150" s="23" t="str">
        <x:v>11970854641</x:v>
      </x:c>
      <x:c r="G150" s="28" t="str">
        <x:v>Destinatário</x:v>
      </x:c>
      <x:c r="H150" s="29" t="n">
        <x:v>46150</x:v>
      </x:c>
      <x:c r="I150" s="29" t="n">
        <x:v>46099</x:v>
      </x:c>
      <x:c r="J150" s="30" t="str">
        <x:v>DANIELA</x:v>
      </x:c>
      <x:c r="K150" s="30" t="str">
        <x:v>ADMINISTRATIVO - NEGOCIA FRETE</x:v>
      </x:c>
      <x:c r="L150" s="30" t="str">
        <x:v>contato@csmateriaiseconstrucao.com.br</x:v>
      </x:c>
      <x:c r="M150" s="30" t="str">
        <x:v>11970854641</x:v>
      </x:c>
    </x:row>
    <x:row r="151">
      <x:c r="A151" s="27" t="n">
        <x:v>32388</x:v>
      </x:c>
      <x:c r="B151" s="23" t="str">
        <x:v>RESIDENCIAL ATMOSPHERE INCORPORADORA IMOBILIARIA SPE LTDA</x:v>
      </x:c>
      <x:c r="C151" s="25" t="str">
        <x:f>"23993914000104"</x:f>
        <x:v>23993914000104</x:v>
      </x:c>
      <x:c r="D151" s="23" t="str">
        <x:v>RIBEIRÃO PRETO</x:v>
      </x:c>
      <x:c r="E151" s="23" t="str">
        <x:v>NFE@STEFANINOGUEIRA.COM</x:v>
      </x:c>
      <x:c r="F151" s="23" t="str">
        <x:v>1635122060</x:v>
      </x:c>
      <x:c r="G151" s="28" t="str">
        <x:v>Destinatário</x:v>
      </x:c>
      <x:c r="H151" s="29" t="n">
        <x:v>46170</x:v>
      </x:c>
      <x:c r="I151" s="29" t="n">
        <x:v>46100</x:v>
      </x:c>
      <x:c r="J151" s="30" t="str">
        <x:v>STHEFANI</x:v>
      </x:c>
      <x:c r="K151" s="30" t="str">
        <x:v>ADMINISTRATIVO - NEGOCIA FRETE</x:v>
      </x:c>
      <x:c r="L151" s="30" t="str">
        <x:v>NFE@STEFANINOGUEIRA.COM</x:v>
      </x:c>
      <x:c r="M151" s="30" t="str">
        <x:v>1635122000</x:v>
      </x:c>
    </x:row>
    <x:row r="152">
      <x:c r="A152" s="27" t="n">
        <x:v>32389</x:v>
      </x:c>
      <x:c r="B152" s="23" t="str">
        <x:v>ALADINO SELMI II SPE LTDA</x:v>
      </x:c>
      <x:c r="C152" s="25" t="str">
        <x:f>"50487709000131"</x:f>
        <x:v>50487709000131</x:v>
      </x:c>
      <x:c r="D152" s="23" t="str">
        <x:v>INDAIATUBA</x:v>
      </x:c>
      <x:c r="E152" s="23" t="str">
        <x:v>SOCIETARIO@RIVCONTABILIDADE.COM.BR</x:v>
      </x:c>
      <x:c r="F152" s="23" t="str"/>
      <x:c r="G152" s="28" t="str">
        <x:v>Destinatário</x:v>
      </x:c>
      <x:c r="H152" s="29" t="n">
        <x:v>46104</x:v>
      </x:c>
      <x:c r="I152" s="29" t="n">
        <x:v>46100</x:v>
      </x:c>
      <x:c r="J152" s="30" t="str"/>
      <x:c r="K152" s="30" t="str"/>
      <x:c r="L152" s="30" t="str"/>
      <x:c r="M152" s="30" t="str"/>
    </x:row>
    <x:row r="153">
      <x:c r="A153" s="27" t="n">
        <x:v>32390</x:v>
      </x:c>
      <x:c r="B153" s="23" t="str">
        <x:v>ALCANCE ENGENHARIA E CONSTRUCAO LTDA</x:v>
      </x:c>
      <x:c r="C153" s="25" t="str">
        <x:f>"20501854000592"</x:f>
        <x:v>20501854000592</x:v>
      </x:c>
      <x:c r="D153" s="23" t="str">
        <x:v>SÃO PAULO</x:v>
      </x:c>
      <x:c r="E153" s="23" t="str">
        <x:v>TAISEBORGES@CONSTRUTORAALCANCE.COM.BR</x:v>
      </x:c>
      <x:c r="F153" s="23" t="str"/>
      <x:c r="G153" s="28" t="str">
        <x:v>Destinatário</x:v>
      </x:c>
      <x:c r="H153" s="29" t="n">
        <x:v>46104</x:v>
      </x:c>
      <x:c r="I153" s="29" t="n">
        <x:v>46100</x:v>
      </x:c>
      <x:c r="J153" s="30" t="str"/>
      <x:c r="K153" s="30" t="str"/>
      <x:c r="L153" s="30" t="str"/>
      <x:c r="M153" s="30" t="str"/>
    </x:row>
    <x:row r="154">
      <x:c r="A154" s="27" t="n">
        <x:v>32391</x:v>
      </x:c>
      <x:c r="B154" s="23" t="str">
        <x:v>BOSQUE DO HORTO SPE LTDA</x:v>
      </x:c>
      <x:c r="C154" s="25" t="str">
        <x:f>"54856557000158"</x:f>
        <x:v>54856557000158</x:v>
      </x:c>
      <x:c r="D154" s="23" t="str">
        <x:v>SOROCABA</x:v>
      </x:c>
      <x:c r="E154" s="23" t="str">
        <x:v>larvalencia@brioincorporadora.com.br</x:v>
      </x:c>
      <x:c r="F154" s="23" t="str">
        <x:v>15997068894</x:v>
      </x:c>
      <x:c r="G154" s="28" t="str">
        <x:v>Destinatário</x:v>
      </x:c>
      <x:c r="H154" s="29" t="n">
        <x:v>46132</x:v>
      </x:c>
      <x:c r="I154" s="29" t="n">
        <x:v>46101</x:v>
      </x:c>
      <x:c r="J154" s="30" t="str">
        <x:v>BOSQUE DO HORTO</x:v>
      </x:c>
      <x:c r="K154" s="30" t="str">
        <x:v>COMERCIAL</x:v>
      </x:c>
      <x:c r="L154" s="30" t="str">
        <x:v>larvalencia@brioincorporadora.com.br</x:v>
      </x:c>
      <x:c r="M154" s="30" t="str">
        <x:v>15997068894</x:v>
      </x:c>
    </x:row>
    <x:row r="155">
      <x:c r="A155" s="27" t="n">
        <x:v>32396</x:v>
      </x:c>
      <x:c r="B155" s="23" t="str">
        <x:v>LEMEN - MATERIAIS ELETRICOS E FERRAGENS LTDA</x:v>
      </x:c>
      <x:c r="C155" s="25" t="str">
        <x:f>"10799446000262"</x:f>
        <x:v>10799446000262</x:v>
      </x:c>
      <x:c r="D155" s="23" t="str">
        <x:v>SÃO JOSÉ DOS CAMPOS</x:v>
      </x:c>
      <x:c r="E155" s="23" t="str">
        <x:v>FINANCEIRO.ELETROFER@HOTMAIL.COM</x:v>
      </x:c>
      <x:c r="F155" s="23" t="str">
        <x:v>12996400592</x:v>
      </x:c>
      <x:c r="G155" s="28" t="str">
        <x:v>Destinatário</x:v>
      </x:c>
      <x:c r="H155" s="29" t="n">
        <x:v>46150</x:v>
      </x:c>
      <x:c r="I155" s="29" t="n">
        <x:v>46101</x:v>
      </x:c>
      <x:c r="J155" s="30" t="str">
        <x:v>ROSANI</x:v>
      </x:c>
      <x:c r="K155" s="30" t="str">
        <x:v>ADMINISTRATIVO - NEGOCIA FRETE</x:v>
      </x:c>
      <x:c r="L155" s="30" t="str">
        <x:v>lm.eletrofer@hotmail.com</x:v>
      </x:c>
      <x:c r="M155" s="30" t="str">
        <x:v>1232066550</x:v>
      </x:c>
    </x:row>
    <x:row r="156">
      <x:c r="A156" s="27" t="n">
        <x:v>32397</x:v>
      </x:c>
      <x:c r="B156" s="23" t="str">
        <x:v>RESIDENCIAL TULIPAS SPE LTDA</x:v>
      </x:c>
      <x:c r="C156" s="25" t="str">
        <x:f>"55822823000194"</x:f>
        <x:v>55822823000194</x:v>
      </x:c>
      <x:c r="D156" s="23" t="str">
        <x:v>SOROCABA</x:v>
      </x:c>
      <x:c r="E156" s="23" t="str">
        <x:v>LEGALIZACAO@NET-ROSARIO.COM.BR</x:v>
      </x:c>
      <x:c r="F156" s="23" t="str">
        <x:v>15981840127</x:v>
      </x:c>
      <x:c r="G156" s="28" t="str">
        <x:v>Destinatário</x:v>
      </x:c>
      <x:c r="H156" s="29" t="n">
        <x:v>46104</x:v>
      </x:c>
      <x:c r="I156" s="29" t="n">
        <x:v>46101</x:v>
      </x:c>
      <x:c r="J156" s="30" t="str"/>
      <x:c r="K156" s="30" t="str"/>
      <x:c r="L156" s="30" t="str"/>
      <x:c r="M156" s="30" t="str"/>
    </x:row>
    <x:row r="157">
      <x:c r="A157" s="27" t="n">
        <x:v>32398</x:v>
      </x:c>
      <x:c r="B157" s="23" t="str">
        <x:v>TECNOPRENE REVESTIMENTOS ESPECIAIS LTDA</x:v>
      </x:c>
      <x:c r="C157" s="25" t="str">
        <x:f>"45044372000158"</x:f>
        <x:v>45044372000158</x:v>
      </x:c>
      <x:c r="D157" s="23" t="str">
        <x:v>MAUÁ</x:v>
      </x:c>
      <x:c r="E157" s="23" t="str">
        <x:v>merito@contabilmerito.com.br</x:v>
      </x:c>
      <x:c r="F157" s="23" t="str">
        <x:v>11994848954</x:v>
      </x:c>
      <x:c r="G157" s="28" t="str">
        <x:v>Destinatário</x:v>
      </x:c>
      <x:c r="H157" s="29" t="n">
        <x:v>46153</x:v>
      </x:c>
      <x:c r="I157" s="29" t="n">
        <x:v>46101</x:v>
      </x:c>
      <x:c r="J157" s="30" t="str">
        <x:v>MARCELO</x:v>
      </x:c>
      <x:c r="K157" s="30" t="str">
        <x:v>COMERCIAL</x:v>
      </x:c>
      <x:c r="L157" s="30" t="str">
        <x:v>marcelo.almeida@tecnoprene.com.br</x:v>
      </x:c>
      <x:c r="M157" s="30" t="str">
        <x:v>11994848954</x:v>
      </x:c>
    </x:row>
    <x:row r="158">
      <x:c r="A158" s="27" t="n">
        <x:v>32399</x:v>
      </x:c>
      <x:c r="B158" s="23" t="str">
        <x:v>CARDIL COMERCIO DE MATERIAIS DE CONSTRUCAO LTDA.</x:v>
      </x:c>
      <x:c r="C158" s="25" t="str">
        <x:f>"52870888000621"</x:f>
        <x:v>52870888000621</x:v>
      </x:c>
      <x:c r="D158" s="23" t="str">
        <x:v>LINS</x:v>
      </x:c>
      <x:c r="E158" s="23" t="str">
        <x:v>CONTABILIDADE@CARDIL.COM.BR</x:v>
      </x:c>
      <x:c r="F158" s="23" t="str">
        <x:v>1435338800</x:v>
      </x:c>
      <x:c r="G158" s="28" t="str">
        <x:v>Destinatário</x:v>
      </x:c>
      <x:c r="H158" s="29" t="n">
        <x:v>46104</x:v>
      </x:c>
      <x:c r="I158" s="29" t="n">
        <x:v>46101</x:v>
      </x:c>
      <x:c r="J158" s="30" t="str"/>
      <x:c r="K158" s="30" t="str"/>
      <x:c r="L158" s="30" t="str"/>
      <x:c r="M158" s="30" t="str"/>
    </x:row>
    <x:row r="159">
      <x:c r="A159" s="27" t="n">
        <x:v>32403</x:v>
      </x:c>
      <x:c r="B159" s="23" t="str">
        <x:v>RESIDENCIAL LOTUS SPE LTDA</x:v>
      </x:c>
      <x:c r="C159" s="25" t="str">
        <x:f>"48264100000151"</x:f>
        <x:v>48264100000151</x:v>
      </x:c>
      <x:c r="D159" s="23" t="str">
        <x:v>SOROCABA</x:v>
      </x:c>
      <x:c r="E159" s="23" t="str">
        <x:v>suprimentos@geratriz.com.br</x:v>
      </x:c>
      <x:c r="F159" s="23" t="str">
        <x:v>15981840127</x:v>
      </x:c>
      <x:c r="G159" s="28" t="str">
        <x:v>Destinatário</x:v>
      </x:c>
      <x:c r="H159" s="29" t="n">
        <x:v>46104</x:v>
      </x:c>
      <x:c r="I159" s="29" t="n">
        <x:v>46104</x:v>
      </x:c>
      <x:c r="J159" s="30" t="str">
        <x:v>GIOVANA</x:v>
      </x:c>
      <x:c r="K159" s="30" t="str">
        <x:v>LOGISTICA</x:v>
      </x:c>
      <x:c r="L159" s="30" t="str">
        <x:v>suprimentos@geratriz.com.br</x:v>
      </x:c>
      <x:c r="M159" s="30" t="str">
        <x:v>15981840127</x:v>
      </x:c>
    </x:row>
    <x:row r="160">
      <x:c r="A160" s="27" t="n">
        <x:v>32404</x:v>
      </x:c>
      <x:c r="B160" s="23" t="str">
        <x:v>DM COMERCIO DE TINTAS LTDA</x:v>
      </x:c>
      <x:c r="C160" s="25" t="str">
        <x:f>"42919345000355"</x:f>
        <x:v>42919345000355</x:v>
      </x:c>
      <x:c r="D160" s="23" t="str">
        <x:v>VALINHOS</x:v>
      </x:c>
      <x:c r="E160" s="23" t="str">
        <x:v>ERICKCARDOZO@COBRANCA.COM.BR</x:v>
      </x:c>
      <x:c r="F160" s="23" t="str">
        <x:v>1929325661</x:v>
      </x:c>
      <x:c r="G160" s="28" t="str">
        <x:v>Destinatário</x:v>
      </x:c>
      <x:c r="H160" s="29" t="n">
        <x:v>46104</x:v>
      </x:c>
      <x:c r="I160" s="29" t="n">
        <x:v>46104</x:v>
      </x:c>
      <x:c r="J160" s="30" t="str"/>
      <x:c r="K160" s="30" t="str"/>
      <x:c r="L160" s="30" t="str"/>
      <x:c r="M160" s="30" t="str"/>
    </x:row>
    <x:row r="161">
      <x:c r="A161" s="27" t="n">
        <x:v>32415</x:v>
      </x:c>
      <x:c r="B161" s="23" t="str">
        <x:v>FORMENTOR RIO CLARO EMPREENDIMENTOS IMOBILIARIOS SPE LTDA</x:v>
      </x:c>
      <x:c r="C161" s="25" t="str">
        <x:f>"52416140000149"</x:f>
        <x:v>52416140000149</x:v>
      </x:c>
      <x:c r="D161" s="23" t="str">
        <x:v>RIO CLARO</x:v>
      </x:c>
      <x:c r="E161" s="23" t="str">
        <x:v>ARLINDOPLASTICOS@LUCONI.COM.BR</x:v>
      </x:c>
      <x:c r="F161" s="23" t="str">
        <x:v>1141769677</x:v>
      </x:c>
      <x:c r="G161" s="28" t="str">
        <x:v>Destinatário</x:v>
      </x:c>
      <x:c r="H161" s="29" t="n">
        <x:v>46114</x:v>
      </x:c>
      <x:c r="I161" s="29" t="n">
        <x:v>46106</x:v>
      </x:c>
      <x:c r="J161" s="30" t="str">
        <x:v>ARLINDO</x:v>
      </x:c>
      <x:c r="K161" s="30" t="str">
        <x:v>COMERCIAL</x:v>
      </x:c>
      <x:c r="L161" s="30" t="str">
        <x:v>ARLINDOPLASTICOS@LUCONI.COM.BR</x:v>
      </x:c>
      <x:c r="M161" s="30" t="str">
        <x:v>1141769677</x:v>
      </x:c>
    </x:row>
    <x:row r="162">
      <x:c r="A162" s="27" t="n">
        <x:v>32419</x:v>
      </x:c>
      <x:c r="B162" s="23" t="str">
        <x:v>MARIA CLARA DO CARMO GOMES</x:v>
      </x:c>
      <x:c r="C162" s="25" t="str">
        <x:f>"49943549000109"</x:f>
        <x:v>49943549000109</x:v>
      </x:c>
      <x:c r="D162" s="23" t="str">
        <x:v>CAJURU</x:v>
      </x:c>
      <x:c r="E162" s="23" t="str">
        <x:v>GUCAJURU@HOTMAIL.COM</x:v>
      </x:c>
      <x:c r="F162" s="23" t="str">
        <x:v>1636673037</x:v>
      </x:c>
      <x:c r="G162" s="28" t="str">
        <x:v>Destinatário</x:v>
      </x:c>
      <x:c r="H162" s="29" t="n">
        <x:v>46106</x:v>
      </x:c>
      <x:c r="I162" s="29" t="n">
        <x:v>46106</x:v>
      </x:c>
      <x:c r="J162" s="30" t="str">
        <x:v>MARIA CLARA</x:v>
      </x:c>
      <x:c r="K162" s="30" t="str">
        <x:v>LOGISTICA</x:v>
      </x:c>
      <x:c r="L162" s="30" t="str">
        <x:v>GUCAJURU@HOTMAIL.COM</x:v>
      </x:c>
      <x:c r="M162" s="30" t="str">
        <x:v>1636673037</x:v>
      </x:c>
    </x:row>
    <x:row r="163">
      <x:c r="A163" s="27" t="n">
        <x:v>32421</x:v>
      </x:c>
      <x:c r="B163" s="23" t="str">
        <x:v>AEDIFICA OESTE SP SPE S.A.</x:v>
      </x:c>
      <x:c r="C163" s="25" t="str">
        <x:f>"58716461000730"</x:f>
        <x:v>58716461000730</x:v>
      </x:c>
      <x:c r="D163" s="23" t="str">
        <x:v>LINS</x:v>
      </x:c>
      <x:c r="E163" s="23" t="str">
        <x:v>notafiscais.lin@engeform.com.br</x:v>
      </x:c>
      <x:c r="F163" s="23" t="str">
        <x:v>1630307200</x:v>
      </x:c>
      <x:c r="G163" s="28" t="str">
        <x:v>Destinatário</x:v>
      </x:c>
      <x:c r="H163" s="29" t="n">
        <x:v>46106</x:v>
      </x:c>
      <x:c r="I163" s="29" t="n">
        <x:v>46106</x:v>
      </x:c>
      <x:c r="J163" s="30" t="str">
        <x:v>FLAVIA</x:v>
      </x:c>
      <x:c r="K163" s="30" t="str">
        <x:v>LOGISTICA</x:v>
      </x:c>
      <x:c r="L163" s="30" t="str">
        <x:v>notafiscais.lin@engeform.com.br</x:v>
      </x:c>
      <x:c r="M163" s="30" t="str">
        <x:v>16930307200</x:v>
      </x:c>
    </x:row>
    <x:row r="164">
      <x:c r="A164" s="27" t="n">
        <x:v>32422</x:v>
      </x:c>
      <x:c r="B164" s="23" t="str">
        <x:v>CAMPOS SALES TINTAS LTDA</x:v>
      </x:c>
      <x:c r="C164" s="25" t="str">
        <x:f>"62383552000183"</x:f>
        <x:v>62383552000183</x:v>
      </x:c>
      <x:c r="D164" s="23" t="str">
        <x:v>AMERICANA</x:v>
      </x:c>
      <x:c r="E164" s="23" t="str">
        <x:v>balaiotintas@yahoo.com.br</x:v>
      </x:c>
      <x:c r="F164" s="23" t="str">
        <x:v>1936010567</x:v>
      </x:c>
      <x:c r="G164" s="28" t="str">
        <x:v>Destinatário</x:v>
      </x:c>
      <x:c r="H164" s="29" t="n">
        <x:v>46150</x:v>
      </x:c>
      <x:c r="I164" s="29" t="n">
        <x:v>46106</x:v>
      </x:c>
      <x:c r="J164" s="30" t="str">
        <x:v>CARLOS</x:v>
      </x:c>
      <x:c r="K164" s="30" t="str">
        <x:v>COMERCIAL</x:v>
      </x:c>
      <x:c r="L164" s="30" t="str">
        <x:v>campossalestintas@gmail.com</x:v>
      </x:c>
      <x:c r="M164" s="30" t="str">
        <x:v>1934635632</x:v>
      </x:c>
    </x:row>
    <x:row r="165">
      <x:c r="A165" s="27" t="n">
        <x:v>32427</x:v>
      </x:c>
      <x:c r="B165" s="23" t="str">
        <x:v>MC ARARAS MAN E COM  MAQUINAS E EQUIPAMENTOS LTDA</x:v>
      </x:c>
      <x:c r="C165" s="25" t="str">
        <x:f>"10390416000117"</x:f>
        <x:v>10390416000117</x:v>
      </x:c>
      <x:c r="D165" s="23" t="str">
        <x:v>ARARAS</x:v>
      </x:c>
      <x:c r="E165" s="23" t="str">
        <x:v>mc@mcararas.com.br</x:v>
      </x:c>
      <x:c r="F165" s="23" t="str">
        <x:v>1933520665</x:v>
      </x:c>
      <x:c r="G165" s="28" t="str">
        <x:v>Destinatário</x:v>
      </x:c>
      <x:c r="H165" s="29" t="n">
        <x:v>46107</x:v>
      </x:c>
      <x:c r="I165" s="29" t="n">
        <x:v>46107</x:v>
      </x:c>
      <x:c r="J165" s="30" t="str">
        <x:v>MARCIO</x:v>
      </x:c>
      <x:c r="K165" s="30" t="str">
        <x:v>COMERCIAL</x:v>
      </x:c>
      <x:c r="L165" s="30" t="str">
        <x:v>mc@mcararas.com.br</x:v>
      </x:c>
      <x:c r="M165" s="30" t="str">
        <x:v>1933520665</x:v>
      </x:c>
    </x:row>
    <x:row r="166">
      <x:c r="A166" s="27" t="n">
        <x:v>32433</x:v>
      </x:c>
      <x:c r="B166" s="23" t="str">
        <x:v>CLEUZA B. PITARELO MATERIAIS PARA CONSTRUCAO</x:v>
      </x:c>
      <x:c r="C166" s="25" t="str">
        <x:f>"08764881000129"</x:f>
        <x:v>08764881000129</x:v>
      </x:c>
      <x:c r="D166" s="23" t="str">
        <x:v>INDAIATUBA</x:v>
      </x:c>
      <x:c r="E166" s="23" t="str">
        <x:v>NAPPI@ORGANIZACAONAPPI.COM.BR</x:v>
      </x:c>
      <x:c r="F166" s="23" t="str">
        <x:v>19995554172</x:v>
      </x:c>
      <x:c r="G166" s="28" t="str">
        <x:v>Destinatário</x:v>
      </x:c>
      <x:c r="H166" s="29" t="n">
        <x:v>46107</x:v>
      </x:c>
      <x:c r="I166" s="29" t="n">
        <x:v>46107</x:v>
      </x:c>
      <x:c r="J166" s="30" t="str">
        <x:v>CLEUZA B. PITARELO MATERIAS PARA CONSTRUCAO</x:v>
      </x:c>
      <x:c r="K166" s="30" t="str">
        <x:v>LOGISTICA</x:v>
      </x:c>
      <x:c r="L166" s="30" t="str">
        <x:v>NAPPI@ORGANIZACAONAPPI.COM.BR</x:v>
      </x:c>
      <x:c r="M166" s="30" t="str">
        <x:v>19995554172</x:v>
      </x:c>
    </x:row>
    <x:row r="167">
      <x:c r="A167" s="27" t="n">
        <x:v>32439</x:v>
      </x:c>
      <x:c r="B167" s="23" t="str">
        <x:v>TERLIZZI ARTEFATOS PARA LINGERIE LTDA.</x:v>
      </x:c>
      <x:c r="C167" s="25" t="str">
        <x:f>"61144671000110"</x:f>
        <x:v>61144671000110</x:v>
      </x:c>
      <x:c r="D167" s="23" t="str">
        <x:v>CERQUILHO</x:v>
      </x:c>
      <x:c r="E167" s="23" t="str">
        <x:v>marcelo@terlizzi.com.br</x:v>
      </x:c>
      <x:c r="F167" s="23" t="str">
        <x:v>1533848900</x:v>
      </x:c>
      <x:c r="G167" s="28" t="str">
        <x:v>Destinatário</x:v>
      </x:c>
      <x:c r="H167" s="29" t="n">
        <x:v>46111</x:v>
      </x:c>
      <x:c r="I167" s="29" t="n">
        <x:v>46111</x:v>
      </x:c>
      <x:c r="J167" s="30" t="str">
        <x:v>MARCELO</x:v>
      </x:c>
      <x:c r="K167" s="30" t="str">
        <x:v>ADMINISTRATIVO - NEGOCIA FRETE</x:v>
      </x:c>
      <x:c r="L167" s="30" t="str">
        <x:v>marcelo@terlizzi.com.br</x:v>
      </x:c>
      <x:c r="M167" s="30" t="str">
        <x:v>15997975019</x:v>
      </x:c>
    </x:row>
    <x:row r="168">
      <x:c r="A168" s="27" t="n">
        <x:v>32442</x:v>
      </x:c>
      <x:c r="B168" s="23" t="str">
        <x:v>DANVIN - DEVITRO INDUSTRIA E COMERCIO DE VIDROS LTDA</x:v>
      </x:c>
      <x:c r="C168" s="25" t="str">
        <x:f>"55282982000143"</x:f>
        <x:v>55282982000143</x:v>
      </x:c>
      <x:c r="D168" s="23" t="str">
        <x:v>PEDREIRA</x:v>
      </x:c>
      <x:c r="E168" s="23" t="str">
        <x:v>ronaldo@danvin.com.br</x:v>
      </x:c>
      <x:c r="F168" s="23" t="str">
        <x:v>1938931088</x:v>
      </x:c>
      <x:c r="G168" s="28" t="str">
        <x:v>Destinatário</x:v>
      </x:c>
      <x:c r="H168" s="29" t="n">
        <x:v>46111</x:v>
      </x:c>
      <x:c r="I168" s="29" t="n">
        <x:v>46111</x:v>
      </x:c>
      <x:c r="J168" s="30" t="str">
        <x:v>RONALDO</x:v>
      </x:c>
      <x:c r="K168" s="30" t="str">
        <x:v>COMPRAS</x:v>
      </x:c>
      <x:c r="L168" s="30" t="str">
        <x:v>ronaldo@danvin.com.br</x:v>
      </x:c>
      <x:c r="M168" s="30" t="str">
        <x:v>19999866898</x:v>
      </x:c>
    </x:row>
    <x:row r="169">
      <x:c r="A169" s="27" t="n">
        <x:v>32450</x:v>
      </x:c>
      <x:c r="B169" s="23" t="str">
        <x:v>VECCON-IBEN 002 CONSTRUTORA E INCORPORADORA SPE LTDA</x:v>
      </x:c>
      <x:c r="C169" s="25" t="str">
        <x:f>"46859956000144"</x:f>
        <x:v>46859956000144</x:v>
      </x:c>
      <x:c r="D169" s="23" t="str">
        <x:v>SUMARÉ</x:v>
      </x:c>
      <x:c r="E169" s="23" t="str">
        <x:v>DEBORARIBEIRO@VECCON.COM.BR</x:v>
      </x:c>
      <x:c r="F169" s="23" t="str">
        <x:v>1935143800</x:v>
      </x:c>
      <x:c r="G169" s="28" t="str">
        <x:v>Destinatário</x:v>
      </x:c>
      <x:c r="H169" s="29" t="n">
        <x:v>46147</x:v>
      </x:c>
      <x:c r="I169" s="29" t="n">
        <x:v>46111</x:v>
      </x:c>
      <x:c r="J169" s="30" t="str">
        <x:v>DEBORA</x:v>
      </x:c>
      <x:c r="K169" s="30" t="str">
        <x:v>LOGISTICA</x:v>
      </x:c>
      <x:c r="L169" s="30" t="str">
        <x:v>DEBORARIBEIRO@VECCON.COM.BR</x:v>
      </x:c>
      <x:c r="M169" s="30" t="str">
        <x:v>1935143800</x:v>
      </x:c>
    </x:row>
    <x:row r="170">
      <x:c r="A170" s="27" t="n">
        <x:v>32455</x:v>
      </x:c>
      <x:c r="B170" s="23" t="str">
        <x:v>ADRIANO SILVA MATERIAIS DE CONSTRUCAO</x:v>
      </x:c>
      <x:c r="C170" s="25" t="str">
        <x:f>"51146270000146"</x:f>
        <x:v>51146270000146</x:v>
      </x:c>
      <x:c r="D170" s="23" t="str">
        <x:v>LIMEIRA</x:v>
      </x:c>
      <x:c r="E170" s="23" t="str">
        <x:v>JMDUARTEJUNIOR@GMAIL.COM</x:v>
      </x:c>
      <x:c r="F170" s="23" t="str">
        <x:v>19974056819</x:v>
      </x:c>
      <x:c r="G170" s="28" t="str">
        <x:v>Destinatário</x:v>
      </x:c>
      <x:c r="H170" s="29" t="n">
        <x:v>46111</x:v>
      </x:c>
      <x:c r="I170" s="29" t="n">
        <x:v>46111</x:v>
      </x:c>
      <x:c r="J170" s="30" t="str">
        <x:v>ADRIANO SILVA MATERIAS DE CONSTRUCAO</x:v>
      </x:c>
      <x:c r="K170" s="30" t="str">
        <x:v>LOGISTICA</x:v>
      </x:c>
      <x:c r="L170" s="30" t="str">
        <x:v>JMDUARTEJUNIOR@GMAIL.COM</x:v>
      </x:c>
      <x:c r="M170" s="30" t="str">
        <x:v>19974056819</x:v>
      </x:c>
    </x:row>
    <x:row r="171">
      <x:c r="A171" s="27" t="n">
        <x:v>32470</x:v>
      </x:c>
      <x:c r="B171" s="23" t="str">
        <x:v>MRV XCIV INCORPORACOES LTDA</x:v>
      </x:c>
      <x:c r="C171" s="25" t="str">
        <x:f>"44100976000292"</x:f>
        <x:v>44100976000292</x:v>
      </x:c>
      <x:c r="D171" s="23" t="str">
        <x:v>RIBEIRÃO PRETO</x:v>
      </x:c>
      <x:c r="E171" s="23" t="str">
        <x:v>NUCLEOFISCAL-BH@MRV.COM.BR</x:v>
      </x:c>
      <x:c r="F171" s="23" t="str">
        <x:v>31998672051</x:v>
      </x:c>
      <x:c r="G171" s="28" t="str">
        <x:v>Destinatário</x:v>
      </x:c>
      <x:c r="H171" s="29" t="n">
        <x:v>46168</x:v>
      </x:c>
      <x:c r="I171" s="29" t="n">
        <x:v>46113</x:v>
      </x:c>
      <x:c r="J171" s="30" t="str"/>
      <x:c r="K171" s="30" t="str"/>
      <x:c r="L171" s="30" t="str"/>
      <x:c r="M171" s="30" t="str"/>
    </x:row>
    <x:row r="172">
      <x:c r="A172" s="27" t="n">
        <x:v>32471</x:v>
      </x:c>
      <x:c r="B172" s="23" t="str">
        <x:v>CORTEZ E FERREIRA MATERIAIS PARA CONSTRUCAO AURIFLAMA LTDA</x:v>
      </x:c>
      <x:c r="C172" s="25" t="str">
        <x:f>"55960640000135"</x:f>
        <x:v>55960640000135</x:v>
      </x:c>
      <x:c r="D172" s="23" t="str">
        <x:v>AURIFLAMA</x:v>
      </x:c>
      <x:c r="E172" s="23" t="str">
        <x:v>ZEZECOBA@HOTMAIL.COM</x:v>
      </x:c>
      <x:c r="F172" s="23" t="str">
        <x:v>17992226937</x:v>
      </x:c>
      <x:c r="G172" s="28" t="str">
        <x:v>Destinatário</x:v>
      </x:c>
      <x:c r="H172" s="29" t="n">
        <x:v>46136</x:v>
      </x:c>
      <x:c r="I172" s="29" t="n">
        <x:v>46113</x:v>
      </x:c>
      <x:c r="J172" s="30" t="str">
        <x:v>ANTONIO</x:v>
      </x:c>
      <x:c r="K172" s="30" t="str">
        <x:v>ADMINISTRATIVO - NEGOCIA FRETE</x:v>
      </x:c>
      <x:c r="L172" s="30" t="str">
        <x:v>ZEZECOBA@HOTMAIL.COM</x:v>
      </x:c>
      <x:c r="M172" s="30" t="str">
        <x:v>17992226937</x:v>
      </x:c>
    </x:row>
    <x:row r="173">
      <x:c r="A173" s="27" t="n">
        <x:v>32472</x:v>
      </x:c>
      <x:c r="B173" s="23" t="str">
        <x:v>EXCELLENCE MATERIAIS PARA CONSTRUCAO LTDA</x:v>
      </x:c>
      <x:c r="C173" s="25" t="str">
        <x:f>"57315287000166"</x:f>
        <x:v>57315287000166</x:v>
      </x:c>
      <x:c r="D173" s="23" t="str">
        <x:v>TRÊS FRONTEIRAS</x:v>
      </x:c>
      <x:c r="E173" s="23" t="str">
        <x:v>EXCELLENCE.MATCON@GMAIL.COM</x:v>
      </x:c>
      <x:c r="F173" s="23" t="str">
        <x:v>1998880016</x:v>
      </x:c>
      <x:c r="G173" s="28" t="str">
        <x:v>Destinatário</x:v>
      </x:c>
      <x:c r="H173" s="29" t="n">
        <x:v>46153</x:v>
      </x:c>
      <x:c r="I173" s="29" t="n">
        <x:v>46113</x:v>
      </x:c>
      <x:c r="J173" s="30" t="str">
        <x:v>ODEMIR</x:v>
      </x:c>
      <x:c r="K173" s="30" t="str">
        <x:v>COMERCIAL</x:v>
      </x:c>
      <x:c r="L173" s="30" t="str">
        <x:v>construvic@construvic.com.br</x:v>
      </x:c>
      <x:c r="M173" s="30" t="str">
        <x:v>19997068438</x:v>
      </x:c>
    </x:row>
    <x:row r="174">
      <x:c r="A174" s="27" t="n">
        <x:v>32485</x:v>
      </x:c>
      <x:c r="B174" s="23" t="str">
        <x:v>MAJF TINTAS SOROCABA LTDA</x:v>
      </x:c>
      <x:c r="C174" s="25" t="str">
        <x:f>"10142486000156"</x:f>
        <x:v>10142486000156</x:v>
      </x:c>
      <x:c r="D174" s="23" t="str">
        <x:v>SOROCABA</x:v>
      </x:c>
      <x:c r="E174" s="23" t="str">
        <x:v>decolorestintas@yahoo.com.br</x:v>
      </x:c>
      <x:c r="F174" s="23" t="str">
        <x:v>15996350956</x:v>
      </x:c>
      <x:c r="G174" s="28" t="str">
        <x:v>Destinatário</x:v>
      </x:c>
      <x:c r="H174" s="29" t="n">
        <x:v>46121</x:v>
      </x:c>
      <x:c r="I174" s="29" t="n">
        <x:v>46114</x:v>
      </x:c>
      <x:c r="J174" s="30" t="str">
        <x:v>MARIA JOSE</x:v>
      </x:c>
      <x:c r="K174" s="30" t="str">
        <x:v>ADMINISTRATIVO - NEGOCIA FRETE</x:v>
      </x:c>
      <x:c r="L174" s="30" t="str">
        <x:v>decolorestintas@yahoo.com.br</x:v>
      </x:c>
      <x:c r="M174" s="30" t="str">
        <x:v>15996350956</x:v>
      </x:c>
    </x:row>
    <x:row r="175">
      <x:c r="A175" s="27" t="n">
        <x:v>32486</x:v>
      </x:c>
      <x:c r="B175" s="23" t="str">
        <x:v>FABIO HENRIQUE FRANCO DE GODOI</x:v>
      </x:c>
      <x:c r="C175" s="25" t="str">
        <x:f>"01805884000114"</x:f>
        <x:v>01805884000114</x:v>
      </x:c>
      <x:c r="D175" s="23" t="str">
        <x:v>MATÃO</x:v>
      </x:c>
      <x:c r="E175" s="23" t="str">
        <x:v>FABIOHENRIQUE@GMAIL.COM</x:v>
      </x:c>
      <x:c r="F175" s="23" t="str">
        <x:v>1699727883</x:v>
      </x:c>
      <x:c r="G175" s="28" t="str">
        <x:v>Destinatário</x:v>
      </x:c>
      <x:c r="H175" s="29" t="n">
        <x:v>46233</x:v>
      </x:c>
      <x:c r="I175" s="29" t="n">
        <x:v>46114</x:v>
      </x:c>
      <x:c r="J175" s="30" t="str"/>
      <x:c r="K175" s="30" t="str"/>
      <x:c r="L175" s="30" t="str"/>
      <x:c r="M175" s="30" t="str"/>
    </x:row>
    <x:row r="176">
      <x:c r="A176" s="27" t="n">
        <x:v>32487</x:v>
      </x:c>
      <x:c r="B176" s="23" t="str">
        <x:v>W J SERRALHA COMERCIO DE TINTAS</x:v>
      </x:c>
      <x:c r="C176" s="25" t="str">
        <x:f>"49343138000182"</x:f>
        <x:v>49343138000182</x:v>
      </x:c>
      <x:c r="D176" s="23" t="str">
        <x:v>MONTE ALTO</x:v>
      </x:c>
      <x:c r="E176" s="23" t="str"/>
      <x:c r="F176" s="23" t="str">
        <x:v>1632421363</x:v>
      </x:c>
      <x:c r="G176" s="28" t="str">
        <x:v>Destinatário</x:v>
      </x:c>
      <x:c r="H176" s="29" t="n">
        <x:v>46140</x:v>
      </x:c>
      <x:c r="I176" s="29" t="n">
        <x:v>46114</x:v>
      </x:c>
      <x:c r="J176" s="30" t="str">
        <x:v>WAGNER</x:v>
      </x:c>
      <x:c r="K176" s="30" t="str">
        <x:v>LOGISTICA</x:v>
      </x:c>
      <x:c r="L176" s="30" t="str">
        <x:v>wserralha@yahoo.com.br</x:v>
      </x:c>
      <x:c r="M176" s="30" t="str">
        <x:v>16997521979</x:v>
      </x:c>
    </x:row>
    <x:row r="177">
      <x:c r="A177" s="27" t="n">
        <x:v>32493</x:v>
      </x:c>
      <x:c r="B177" s="23" t="str">
        <x:v>J.H.D. - COMPONENTES MECANICOS LTDA</x:v>
      </x:c>
      <x:c r="C177" s="25" t="str">
        <x:f>"28274746000102"</x:f>
        <x:v>28274746000102</x:v>
      </x:c>
      <x:c r="D177" s="23" t="str">
        <x:v>BAURU</x:v>
      </x:c>
      <x:c r="E177" s="23" t="str">
        <x:v>contato@jhdcomponentes.com.br</x:v>
      </x:c>
      <x:c r="F177" s="23" t="str">
        <x:v>1432033748</x:v>
      </x:c>
      <x:c r="G177" s="28" t="str">
        <x:v>Destinatário</x:v>
      </x:c>
      <x:c r="H177" s="29" t="n">
        <x:v>46150</x:v>
      </x:c>
      <x:c r="I177" s="29" t="n">
        <x:v>46118</x:v>
      </x:c>
      <x:c r="J177" s="30" t="str">
        <x:v>LUCAS</x:v>
      </x:c>
      <x:c r="K177" s="30" t="str">
        <x:v>COMPRAS</x:v>
      </x:c>
      <x:c r="L177" s="30" t="str">
        <x:v>contato@jhdcomponentes.com.br</x:v>
      </x:c>
      <x:c r="M177" s="30" t="str">
        <x:v>1432033748</x:v>
      </x:c>
    </x:row>
    <x:row r="178">
      <x:c r="A178" s="27" t="n">
        <x:v>32494</x:v>
      </x:c>
      <x:c r="B178" s="23" t="str">
        <x:v>SRC BILD DESENVOLVIMENTO IMOBILIARIO 45 SPE LTDA</x:v>
      </x:c>
      <x:c r="C178" s="25" t="str">
        <x:f>"39994096000196"</x:f>
        <x:v>39994096000196</x:v>
      </x:c>
      <x:c r="D178" s="23" t="str">
        <x:v>SOROCABA</x:v>
      </x:c>
      <x:c r="E178" s="23" t="str">
        <x:v>sac@bild.com.br</x:v>
      </x:c>
      <x:c r="F178" s="23" t="str">
        <x:v>1638784700</x:v>
      </x:c>
      <x:c r="G178" s="28" t="str">
        <x:v>Destinatário</x:v>
      </x:c>
      <x:c r="H178" s="29" t="n">
        <x:v>46121</x:v>
      </x:c>
      <x:c r="I178" s="29" t="n">
        <x:v>46118</x:v>
      </x:c>
      <x:c r="J178" s="30" t="str">
        <x:v>BRUNO NASCIMENTO ROBLES</x:v>
      </x:c>
      <x:c r="K178" s="30" t="str">
        <x:v>ADMINISTRATIVO - NEGOCIA FRETE</x:v>
      </x:c>
      <x:c r="L178" s="30" t="str">
        <x:v>sac@bild.com.br</x:v>
      </x:c>
      <x:c r="M178" s="30" t="str">
        <x:v>1638784700</x:v>
      </x:c>
    </x:row>
    <x:row r="179">
      <x:c r="A179" s="27" t="n">
        <x:v>32495</x:v>
      </x:c>
      <x:c r="B179" s="23" t="str">
        <x:v>ER FLOW MANUTENCAO E CALIBRACAO LTDA</x:v>
      </x:c>
      <x:c r="C179" s="25" t="str">
        <x:f>"40959911000165"</x:f>
        <x:v>40959911000165</x:v>
      </x:c>
      <x:c r="D179" s="23" t="str">
        <x:v>DIADEMA</x:v>
      </x:c>
      <x:c r="E179" s="23" t="str">
        <x:v>contato@rjlimacontabilidade.com.br</x:v>
      </x:c>
      <x:c r="F179" s="23" t="str">
        <x:v>1140924279</x:v>
      </x:c>
      <x:c r="G179" s="28" t="str">
        <x:v>Destinatário</x:v>
      </x:c>
      <x:c r="H179" s="29" t="n">
        <x:v>46195</x:v>
      </x:c>
      <x:c r="I179" s="29" t="n">
        <x:v>46118</x:v>
      </x:c>
      <x:c r="J179" s="30" t="str">
        <x:v>DANILO</x:v>
      </x:c>
      <x:c r="K179" s="30" t="str">
        <x:v>LOGISTICA</x:v>
      </x:c>
      <x:c r="L179" s="30" t="str">
        <x:v>logistica@erflow.com.br</x:v>
      </x:c>
      <x:c r="M179" s="30" t="str">
        <x:v>1140924279</x:v>
      </x:c>
    </x:row>
    <x:row r="180">
      <x:c r="A180" s="27" t="n">
        <x:v>32498</x:v>
      </x:c>
      <x:c r="B180" s="23" t="str">
        <x:v>MIRO STAR BORDADOS E CONFECCOES LTDA</x:v>
      </x:c>
      <x:c r="C180" s="25" t="str">
        <x:f>"38815817000190"</x:f>
        <x:v>38815817000190</x:v>
      </x:c>
      <x:c r="D180" s="23" t="str">
        <x:v>ITÁPOLIS</x:v>
      </x:c>
      <x:c r="E180" s="23" t="str"/>
      <x:c r="F180" s="23" t="str">
        <x:v>1740093456</x:v>
      </x:c>
      <x:c r="G180" s="28" t="str">
        <x:v>Destinatário</x:v>
      </x:c>
      <x:c r="H180" s="29" t="n">
        <x:v>46128</x:v>
      </x:c>
      <x:c r="I180" s="29" t="n">
        <x:v>46120</x:v>
      </x:c>
      <x:c r="J180" s="30" t="str">
        <x:v>MIRO
MIRO</x:v>
      </x:c>
      <x:c r="K180" s="30" t="str">
        <x:v>ADMINISTRATIVO - NEGOCIA FRETE
ADMINISTRATIVO - NEGOCIA FRETE</x:v>
      </x:c>
      <x:c r="L180" s="30" t="str">
        <x:v>miro@hotmail.com
miro@hotmail.com</x:v>
      </x:c>
      <x:c r="M180" s="30" t="str">
        <x:v>16997004728
1740093456</x:v>
      </x:c>
    </x:row>
    <x:row r="181">
      <x:c r="A181" s="27" t="n">
        <x:v>32500</x:v>
      </x:c>
      <x:c r="B181" s="23" t="str">
        <x:v>SURFACETECH TRATAMENTO DE SUPERFICIES LTDA</x:v>
      </x:c>
      <x:c r="C181" s="25" t="str">
        <x:f>"21109071000105"</x:f>
        <x:v>21109071000105</x:v>
      </x:c>
      <x:c r="D181" s="23" t="str">
        <x:v>BARUERI</x:v>
      </x:c>
      <x:c r="E181" s="23" t="str">
        <x:v>financeiro@surfacetech.ind.br</x:v>
      </x:c>
      <x:c r="F181" s="23" t="str">
        <x:v>1139851441</x:v>
      </x:c>
      <x:c r="G181" s="28" t="str">
        <x:v>Destinatário</x:v>
      </x:c>
      <x:c r="H181" s="29" t="n">
        <x:v>46120</x:v>
      </x:c>
      <x:c r="I181" s="29" t="n">
        <x:v>46119</x:v>
      </x:c>
      <x:c r="J181" s="30" t="str">
        <x:v>VICENTE</x:v>
      </x:c>
      <x:c r="K181" s="30" t="str">
        <x:v>COMERCIAL</x:v>
      </x:c>
      <x:c r="L181" s="30" t="str">
        <x:v>vendas@surfacetech.com.br</x:v>
      </x:c>
      <x:c r="M181" s="30" t="str">
        <x:v>11947824670</x:v>
      </x:c>
    </x:row>
    <x:row r="182">
      <x:c r="A182" s="27" t="n">
        <x:v>32501</x:v>
      </x:c>
      <x:c r="B182" s="23" t="str">
        <x:v>ROCHA COMERCIO DE MOVEIS LTDA</x:v>
      </x:c>
      <x:c r="C182" s="25" t="str">
        <x:f>"40891701000182"</x:f>
        <x:v>40891701000182</x:v>
      </x:c>
      <x:c r="D182" s="23" t="str">
        <x:v>VALENTIM GENTIL</x:v>
      </x:c>
      <x:c r="E182" s="23" t="str">
        <x:v>contato@moveisrocha.com.br</x:v>
      </x:c>
      <x:c r="F182" s="23" t="str">
        <x:v>1734859700</x:v>
      </x:c>
      <x:c r="G182" s="28" t="str">
        <x:v>Destinatário</x:v>
      </x:c>
      <x:c r="H182" s="29" t="n">
        <x:v>46119</x:v>
      </x:c>
      <x:c r="I182" s="29" t="n">
        <x:v>46119</x:v>
      </x:c>
      <x:c r="J182" s="30" t="str">
        <x:v>COMERCIAL MOVEIS ROCHA</x:v>
      </x:c>
      <x:c r="K182" s="30" t="str">
        <x:v>COMERCIAL</x:v>
      </x:c>
      <x:c r="L182" s="30" t="str">
        <x:v>contato@moveisrocha.com.br</x:v>
      </x:c>
      <x:c r="M182" s="30" t="str">
        <x:v>17996831343</x:v>
      </x:c>
    </x:row>
    <x:row r="183">
      <x:c r="A183" s="27" t="n">
        <x:v>32508</x:v>
      </x:c>
      <x:c r="B183" s="23" t="str">
        <x:v>R&amp;O CODIFICACAO E AUTOMACAO INDUSTRIAL LTDA</x:v>
      </x:c>
      <x:c r="C183" s="25" t="str">
        <x:f>"44789727000175"</x:f>
        <x:v>44789727000175</x:v>
      </x:c>
      <x:c r="D183" s="23" t="str">
        <x:v>VALINHOS</x:v>
      </x:c>
      <x:c r="E183" s="23" t="str">
        <x:v>adm1@rocodificacao.com.br</x:v>
      </x:c>
      <x:c r="F183" s="23" t="str">
        <x:v>19994671151</x:v>
      </x:c>
      <x:c r="G183" s="28" t="str">
        <x:v>Destinatário</x:v>
      </x:c>
      <x:c r="H183" s="29" t="n">
        <x:v>46170</x:v>
      </x:c>
      <x:c r="I183" s="29" t="n">
        <x:v>46120</x:v>
      </x:c>
      <x:c r="J183" s="30" t="str">
        <x:v>ROBERTA</x:v>
      </x:c>
      <x:c r="K183" s="30" t="str">
        <x:v>LOGISTICA</x:v>
      </x:c>
      <x:c r="L183" s="30" t="str">
        <x:v>roberta@rocodificacao.com.br</x:v>
      </x:c>
      <x:c r="M183" s="30" t="str">
        <x:v>19994671151</x:v>
      </x:c>
    </x:row>
    <x:row r="184">
      <x:c r="A184" s="27" t="n">
        <x:v>32511</x:v>
      </x:c>
      <x:c r="B184" s="23" t="str">
        <x:v>BRZ EMPREENDIMENTOS PORTAL TORRES DE SENNA SPE LTDA</x:v>
      </x:c>
      <x:c r="C184" s="25" t="str">
        <x:f>"55564758000144"</x:f>
        <x:v>55564758000144</x:v>
      </x:c>
      <x:c r="D184" s="23" t="str">
        <x:v>MOGI GUAÇU</x:v>
      </x:c>
      <x:c r="E184" s="23" t="str">
        <x:v>FISCAL@BRZ.ENG.BR</x:v>
      </x:c>
      <x:c r="F184" s="23" t="str">
        <x:v>3125378787</x:v>
      </x:c>
      <x:c r="G184" s="28" t="str">
        <x:v>Destinatário</x:v>
      </x:c>
      <x:c r="H184" s="29" t="n">
        <x:v>46127</x:v>
      </x:c>
      <x:c r="I184" s="29" t="n">
        <x:v>46121</x:v>
      </x:c>
      <x:c r="J184" s="30" t="str">
        <x:v>CARLOS</x:v>
      </x:c>
      <x:c r="K184" s="30" t="str">
        <x:v>COMERCIAL</x:v>
      </x:c>
      <x:c r="L184" s="30" t="str">
        <x:v>FISCAL@BRZ.ENG.BR</x:v>
      </x:c>
      <x:c r="M184" s="30" t="str">
        <x:v>3125378787</x:v>
      </x:c>
    </x:row>
    <x:row r="185">
      <x:c r="A185" s="27" t="n">
        <x:v>32513</x:v>
      </x:c>
      <x:c r="B185" s="23" t="str">
        <x:v>METZNER &amp; CIA LTDA</x:v>
      </x:c>
      <x:c r="C185" s="25" t="str">
        <x:f>"74478512000102"</x:f>
        <x:v>74478512000102</x:v>
      </x:c>
      <x:c r="D185" s="23" t="str">
        <x:v>ITATIBA</x:v>
      </x:c>
      <x:c r="E185" s="23" t="str"/>
      <x:c r="F185" s="23" t="str">
        <x:v>11944901250</x:v>
      </x:c>
      <x:c r="G185" s="28" t="str">
        <x:v>Destinatário</x:v>
      </x:c>
      <x:c r="H185" s="29" t="n">
        <x:v>46122</x:v>
      </x:c>
      <x:c r="I185" s="29" t="n">
        <x:v>46121</x:v>
      </x:c>
      <x:c r="J185" s="30" t="str">
        <x:v>VERA</x:v>
      </x:c>
      <x:c r="K185" s="30" t="str">
        <x:v>LOGISTICA</x:v>
      </x:c>
      <x:c r="L185" s="30" t="str">
        <x:v>VERA@HANSAILUMINACAO.COM.BR</x:v>
      </x:c>
      <x:c r="M185" s="30" t="str">
        <x:v>11945240961</x:v>
      </x:c>
    </x:row>
    <x:row r="186">
      <x:c r="A186" s="27" t="n">
        <x:v>32514</x:v>
      </x:c>
      <x:c r="B186" s="23" t="str">
        <x:v>LUNARIA ILUMINACAO LTDA</x:v>
      </x:c>
      <x:c r="C186" s="25" t="str">
        <x:f>"64113002000170"</x:f>
        <x:v>64113002000170</x:v>
      </x:c>
      <x:c r="D186" s="23" t="str">
        <x:v>ARTUR NOGUEIRA</x:v>
      </x:c>
      <x:c r="E186" s="23" t="str">
        <x:v>LUCIANE@GUIDOLINLUZ.COM.BR</x:v>
      </x:c>
      <x:c r="F186" s="23" t="str">
        <x:v>1938772656</x:v>
      </x:c>
      <x:c r="G186" s="28" t="str">
        <x:v>Destinatário</x:v>
      </x:c>
      <x:c r="H186" s="29" t="n">
        <x:v>46122</x:v>
      </x:c>
      <x:c r="I186" s="29" t="n">
        <x:v>46121</x:v>
      </x:c>
      <x:c r="J186" s="30" t="str">
        <x:v>LUNARIA ILUMINACAO</x:v>
      </x:c>
      <x:c r="K186" s="30" t="str">
        <x:v>LOGISTICA</x:v>
      </x:c>
      <x:c r="L186" s="30" t="str">
        <x:v>LUCIANE@GUIDOLINLUZ.COM.BR</x:v>
      </x:c>
      <x:c r="M186" s="30" t="str">
        <x:v>1991589059</x:v>
      </x:c>
    </x:row>
    <x:row r="187">
      <x:c r="A187" s="27" t="n">
        <x:v>32518</x:v>
      </x:c>
      <x:c r="B187" s="23" t="str">
        <x:v>CASACOR TINTAS PIRACICABA LTDA</x:v>
      </x:c>
      <x:c r="C187" s="25" t="str">
        <x:f>"62789403000119"</x:f>
        <x:v>62789403000119</x:v>
      </x:c>
      <x:c r="D187" s="23" t="str">
        <x:v>PIRACICABA</x:v>
      </x:c>
      <x:c r="E187" s="23" t="str">
        <x:v>RICARDO@LINKSAT.COM.BR</x:v>
      </x:c>
      <x:c r="F187" s="23" t="str">
        <x:v>1996525002</x:v>
      </x:c>
      <x:c r="G187" s="28" t="str">
        <x:v>Destinatário</x:v>
      </x:c>
      <x:c r="H187" s="29" t="n">
        <x:v>46122</x:v>
      </x:c>
      <x:c r="I187" s="29" t="n">
        <x:v>46121</x:v>
      </x:c>
      <x:c r="J187" s="30" t="str">
        <x:v>RICARDO</x:v>
      </x:c>
      <x:c r="K187" s="30" t="str">
        <x:v>LOGISTICA</x:v>
      </x:c>
      <x:c r="L187" s="30" t="str">
        <x:v>RICARDO@LINKSAT.COM.BR</x:v>
      </x:c>
      <x:c r="M187" s="30" t="str">
        <x:v>19996525002</x:v>
      </x:c>
    </x:row>
    <x:row r="188">
      <x:c r="A188" s="27" t="n">
        <x:v>32519</x:v>
      </x:c>
      <x:c r="B188" s="23" t="str">
        <x:v>UNIROLL FABRICACAO DE EQUIPAMENTOS INDUSTRIAIS LTDA</x:v>
      </x:c>
      <x:c r="C188" s="25" t="str">
        <x:f>"33311974000145"</x:f>
        <x:v>33311974000145</x:v>
      </x:c>
      <x:c r="D188" s="23" t="str">
        <x:v>DIADEMA</x:v>
      </x:c>
      <x:c r="E188" s="23" t="str">
        <x:v>patricia@uniroll.com.br</x:v>
      </x:c>
      <x:c r="F188" s="23" t="str">
        <x:v>1143088681</x:v>
      </x:c>
      <x:c r="G188" s="28" t="str">
        <x:v>Destinatário</x:v>
      </x:c>
      <x:c r="H188" s="29" t="n">
        <x:v>46122</x:v>
      </x:c>
      <x:c r="I188" s="29" t="n">
        <x:v>46121</x:v>
      </x:c>
      <x:c r="J188" s="30" t="str">
        <x:v>KARINA</x:v>
      </x:c>
      <x:c r="K188" s="30" t="str">
        <x:v>COMERCIAL</x:v>
      </x:c>
      <x:c r="L188" s="30" t="str">
        <x:v>comercial@uniroll.com.br</x:v>
      </x:c>
      <x:c r="M188" s="30" t="str">
        <x:v>1143088681</x:v>
      </x:c>
    </x:row>
    <x:row r="189">
      <x:c r="A189" s="27" t="n">
        <x:v>32523</x:v>
      </x:c>
      <x:c r="B189" s="23" t="str">
        <x:v>M. DOS REIS OLIVEIRA</x:v>
      </x:c>
      <x:c r="C189" s="25" t="str">
        <x:f>"33584503000100"</x:f>
        <x:v>33584503000100</x:v>
      </x:c>
      <x:c r="D189" s="23" t="str">
        <x:v>CAJURU</x:v>
      </x:c>
      <x:c r="E189" s="23" t="str">
        <x:v>CONTATO@DECONTABILIDADE.COM.BR</x:v>
      </x:c>
      <x:c r="F189" s="23" t="str">
        <x:v>16992453897</x:v>
      </x:c>
      <x:c r="G189" s="28" t="str">
        <x:v>Destinatário</x:v>
      </x:c>
      <x:c r="H189" s="29" t="n">
        <x:v>46132</x:v>
      </x:c>
      <x:c r="I189" s="29" t="n">
        <x:v>46126</x:v>
      </x:c>
      <x:c r="J189" s="30" t="str">
        <x:v>LUANA
M DOS REIS OLIVEIRA
MATHEUS</x:v>
      </x:c>
      <x:c r="K189" s="30" t="str">
        <x:v>EXPEDICAO
LOGISTICA
ADMINISTRATIVO - NEGOCIA FRETE</x:v>
      </x:c>
      <x:c r="L189" s="30" t="str">
        <x:v>CONTATO@DECONTABILIDADE.COM.BR
CONTATO@DECONTABILIDADE.COM.BR
CONTATO@DECONTABILIDADE.COM.BR</x:v>
      </x:c>
      <x:c r="M189" s="30" t="str">
        <x:v>16991549285
1936827900
16992453897</x:v>
      </x:c>
    </x:row>
    <x:row r="190">
      <x:c r="A190" s="27" t="n">
        <x:v>32527</x:v>
      </x:c>
      <x:c r="B190" s="23" t="str">
        <x:v>LAR BRASIL CONDOMINIO I SPE LTDA</x:v>
      </x:c>
      <x:c r="C190" s="25" t="str">
        <x:f>"27266082000177"</x:f>
        <x:v>27266082000177</x:v>
      </x:c>
      <x:c r="D190" s="23" t="str">
        <x:v>RIBEIRÃO PRETO</x:v>
      </x:c>
      <x:c r="E190" s="23" t="str"/>
      <x:c r="F190" s="23" t="str">
        <x:v>1631018100</x:v>
      </x:c>
      <x:c r="G190" s="28" t="str">
        <x:v>Destinatário</x:v>
      </x:c>
      <x:c r="H190" s="29" t="n">
        <x:v>46122</x:v>
      </x:c>
      <x:c r="I190" s="29" t="n">
        <x:v>46122</x:v>
      </x:c>
      <x:c r="J190" s="30" t="str">
        <x:v>ENGENHARIA / OBRA</x:v>
      </x:c>
      <x:c r="K190" s="30" t="str">
        <x:v>LOGISTICA</x:v>
      </x:c>
      <x:c r="L190" s="30" t="str">
        <x:v>contato@struturacontabil.com.br</x:v>
      </x:c>
      <x:c r="M190" s="30" t="str">
        <x:v>1631018100</x:v>
      </x:c>
    </x:row>
    <x:row r="191">
      <x:c r="A191" s="27" t="n">
        <x:v>32529</x:v>
      </x:c>
      <x:c r="B191" s="23" t="str">
        <x:v>DVB ESTOFADOS LTDA</x:v>
      </x:c>
      <x:c r="C191" s="25" t="str">
        <x:f>"53333015000138"</x:f>
        <x:v>53333015000138</x:v>
      </x:c>
      <x:c r="D191" s="23" t="str">
        <x:v>VALENTIM GENTIL</x:v>
      </x:c>
      <x:c r="E191" s="23" t="str">
        <x:v>dvbestofados@hotmail.com</x:v>
      </x:c>
      <x:c r="F191" s="23" t="str">
        <x:v>17981445288</x:v>
      </x:c>
      <x:c r="G191" s="28" t="str">
        <x:v>Destinatário</x:v>
      </x:c>
      <x:c r="H191" s="29" t="n">
        <x:v>46122</x:v>
      </x:c>
      <x:c r="I191" s="29" t="n">
        <x:v>46122</x:v>
      </x:c>
      <x:c r="J191" s="30" t="str">
        <x:v>DENER VITOR BUTIGNOLLI</x:v>
      </x:c>
      <x:c r="K191" s="30" t="str">
        <x:v>COMERCIAL</x:v>
      </x:c>
      <x:c r="L191" s="30" t="str">
        <x:v>dvbestofados@hotmail.com</x:v>
      </x:c>
      <x:c r="M191" s="30" t="str">
        <x:v>17981445288</x:v>
      </x:c>
    </x:row>
    <x:row r="192">
      <x:c r="A192" s="27" t="n">
        <x:v>32530</x:v>
      </x:c>
      <x:c r="B192" s="23" t="str">
        <x:v>SHIMADA TINTAS E EQUIPAMENTOS LTDA</x:v>
      </x:c>
      <x:c r="C192" s="25" t="str">
        <x:f>"53905756000146"</x:f>
        <x:v>53905756000146</x:v>
      </x:c>
      <x:c r="D192" s="23" t="str">
        <x:v>MOGI GUAÇU</x:v>
      </x:c>
      <x:c r="E192" s="23" t="str">
        <x:v>LEGALIZACAO@CONSULTORIAARS.COM</x:v>
      </x:c>
      <x:c r="F192" s="23" t="str">
        <x:v>19996128544</x:v>
      </x:c>
      <x:c r="G192" s="28" t="str">
        <x:v>Destinatário</x:v>
      </x:c>
      <x:c r="H192" s="29" t="n">
        <x:v>46223</x:v>
      </x:c>
      <x:c r="I192" s="29" t="n">
        <x:v>46122</x:v>
      </x:c>
      <x:c r="J192" s="30" t="str">
        <x:v>SHIMADA TINTAS E EQUI LTDA</x:v>
      </x:c>
      <x:c r="K192" s="30" t="str">
        <x:v>LOGISTICA</x:v>
      </x:c>
      <x:c r="L192" s="30" t="str">
        <x:v>LEGALIZACAO@CONSULTORIAARS.COM</x:v>
      </x:c>
      <x:c r="M192" s="30" t="str">
        <x:v>19996128544</x:v>
      </x:c>
    </x:row>
    <x:row r="193">
      <x:c r="A193" s="27" t="n">
        <x:v>32541</x:v>
      </x:c>
      <x:c r="B193" s="23" t="str">
        <x:v>CONGREGACAO CRISTA NO BRASIL</x:v>
      </x:c>
      <x:c r="C193" s="25" t="str">
        <x:f>"51384626000180"</x:f>
        <x:v>51384626000180</x:v>
      </x:c>
      <x:c r="D193" s="23" t="str">
        <x:v>LEME</x:v>
      </x:c>
      <x:c r="E193" s="23" t="str">
        <x:v>leme@rpf.org.br</x:v>
      </x:c>
      <x:c r="F193" s="23" t="str">
        <x:v>1932241941</x:v>
      </x:c>
      <x:c r="G193" s="28" t="str">
        <x:v>Destinatário</x:v>
      </x:c>
      <x:c r="H193" s="29" t="n">
        <x:v>46127</x:v>
      </x:c>
      <x:c r="I193" s="29" t="n">
        <x:v>46127</x:v>
      </x:c>
      <x:c r="J193" s="30" t="str">
        <x:v>CONGREGACAO</x:v>
      </x:c>
      <x:c r="K193" s="30" t="str">
        <x:v>COMERCIAL</x:v>
      </x:c>
      <x:c r="L193" s="30" t="str">
        <x:v>leme@rpf.org.br</x:v>
      </x:c>
      <x:c r="M193" s="30" t="str">
        <x:v>1932241941</x:v>
      </x:c>
    </x:row>
    <x:row r="194">
      <x:c r="A194" s="27" t="n">
        <x:v>32543</x:v>
      </x:c>
      <x:c r="B194" s="23" t="str">
        <x:v>ENERGE ENERGIA E CONSTRUCOES LTDA</x:v>
      </x:c>
      <x:c r="C194" s="25" t="str">
        <x:f>"30098700000121"</x:f>
        <x:v>30098700000121</x:v>
      </x:c>
      <x:c r="D194" s="23" t="str">
        <x:v>SÃO CAETANO DO SUL</x:v>
      </x:c>
      <x:c r="E194" s="23" t="str"/>
      <x:c r="F194" s="23" t="str">
        <x:v>1143611703</x:v>
      </x:c>
      <x:c r="G194" s="28" t="str">
        <x:v>Destinatário</x:v>
      </x:c>
      <x:c r="H194" s="29" t="n">
        <x:v>46132</x:v>
      </x:c>
      <x:c r="I194" s="29" t="n">
        <x:v>46132</x:v>
      </x:c>
      <x:c r="J194" s="30" t="str">
        <x:v>SABRINA</x:v>
      </x:c>
      <x:c r="K194" s="30" t="str">
        <x:v>COMERCIAL</x:v>
      </x:c>
      <x:c r="L194" s="30" t="str">
        <x:v>energe@energeengenharia.com.br</x:v>
      </x:c>
      <x:c r="M194" s="30" t="str">
        <x:v>11984070434</x:v>
      </x:c>
    </x:row>
    <x:row r="195">
      <x:c r="A195" s="27" t="n">
        <x:v>32547</x:v>
      </x:c>
      <x:c r="B195" s="23" t="str">
        <x:v>RESIDENCIAL JARDIM CORUMBATAI EMPR IMOBILIARIO SPE LTDA</x:v>
      </x:c>
      <x:c r="C195" s="25" t="str">
        <x:f>"53197821000126"</x:f>
        <x:v>53197821000126</x:v>
      </x:c>
      <x:c r="D195" s="23" t="str">
        <x:v>BAURU</x:v>
      </x:c>
      <x:c r="E195" s="23" t="str">
        <x:v>NF.SERVICOS@ECOVITACONSTRUTORA.COM.BR</x:v>
      </x:c>
      <x:c r="F195" s="23" t="str">
        <x:v>1432048604</x:v>
      </x:c>
      <x:c r="G195" s="28" t="str">
        <x:v>Destinatário</x:v>
      </x:c>
      <x:c r="H195" s="29" t="n">
        <x:v>46127</x:v>
      </x:c>
      <x:c r="I195" s="29" t="n">
        <x:v>46127</x:v>
      </x:c>
      <x:c r="J195" s="30" t="str">
        <x:v>CARLOS</x:v>
      </x:c>
      <x:c r="K195" s="30" t="str">
        <x:v>COMERCIAL</x:v>
      </x:c>
      <x:c r="L195" s="30" t="str">
        <x:v>NF.SERVICOS@ECOVITACONSTRUTORA.COM.BR</x:v>
      </x:c>
      <x:c r="M195" s="30" t="str">
        <x:v>1432048604</x:v>
      </x:c>
    </x:row>
    <x:row r="196">
      <x:c r="A196" s="27" t="n">
        <x:v>32548</x:v>
      </x:c>
      <x:c r="B196" s="23" t="str">
        <x:v>L. R. G. CONSTRUCOES E EMPREENDIMENTOS PARQUE DOS SONHOS II SPE LTDA</x:v>
      </x:c>
      <x:c r="C196" s="25" t="str">
        <x:f>"52914590000161"</x:f>
        <x:v>52914590000161</x:v>
      </x:c>
      <x:c r="D196" s="23" t="str">
        <x:v>GUARARAPES</x:v>
      </x:c>
      <x:c r="E196" s="23" t="str">
        <x:v>CONTABILIDADE@LRGCONSTRUTORA.COM.BR</x:v>
      </x:c>
      <x:c r="F196" s="23" t="str">
        <x:v>18036041134</x:v>
      </x:c>
      <x:c r="G196" s="28" t="str">
        <x:v>Destinatário</x:v>
      </x:c>
      <x:c r="H196" s="29" t="n">
        <x:v>46169</x:v>
      </x:c>
      <x:c r="I196" s="29" t="n">
        <x:v>46127</x:v>
      </x:c>
      <x:c r="J196" s="30" t="str">
        <x:v>L.R.G CONST E EMPR PARQUE TERCEIROS
LGR</x:v>
      </x:c>
      <x:c r="K196" s="30" t="str">
        <x:v>LOGISTICA
COMERCIAL</x:v>
      </x:c>
      <x:c r="L196" s="30" t="str">
        <x:v>CONTABILIDADE@LRGCONSTRUTORA.COM.BR
contato@lrgconstrutora.com.br</x:v>
      </x:c>
      <x:c r="M196" s="30" t="str">
        <x:v>18036041134
18996161115</x:v>
      </x:c>
    </x:row>
    <x:row r="197">
      <x:c r="A197" s="27" t="n">
        <x:v>32559</x:v>
      </x:c>
      <x:c r="B197" s="23" t="str">
        <x:v>FABIA RENATA LIBERATORE LTDA</x:v>
      </x:c>
      <x:c r="C197" s="25" t="str">
        <x:f>"48354390000124"</x:f>
        <x:v>48354390000124</x:v>
      </x:c>
      <x:c r="D197" s="23" t="str">
        <x:v>ARAÇATUBA</x:v>
      </x:c>
      <x:c r="E197" s="23" t="str">
        <x:v>FABIA.FINANCEIRO@HOTMAIL.COM</x:v>
      </x:c>
      <x:c r="F197" s="23" t="str">
        <x:v>1836217373</x:v>
      </x:c>
      <x:c r="G197" s="28" t="str">
        <x:v>Destinatário</x:v>
      </x:c>
      <x:c r="H197" s="29" t="n">
        <x:v>46128</x:v>
      </x:c>
      <x:c r="I197" s="29" t="n">
        <x:v>46128</x:v>
      </x:c>
      <x:c r="J197" s="30" t="str">
        <x:v>FABIA RENATA LIBERATORE LTDA</x:v>
      </x:c>
      <x:c r="K197" s="30" t="str">
        <x:v>LOGISTICA</x:v>
      </x:c>
      <x:c r="L197" s="30" t="str">
        <x:v>FABIA.FINANCEIRO@HOTMAIL.COM</x:v>
      </x:c>
      <x:c r="M197" s="30" t="str">
        <x:v>1836217373</x:v>
      </x:c>
    </x:row>
    <x:row r="198">
      <x:c r="A198" s="27" t="n">
        <x:v>32562</x:v>
      </x:c>
      <x:c r="B198" s="23" t="str">
        <x:v>S. P. MAD. COMERCIO E CONSTRUCOES LTDA</x:v>
      </x:c>
      <x:c r="C198" s="25" t="str">
        <x:f>"47736468000102"</x:f>
        <x:v>47736468000102</x:v>
      </x:c>
      <x:c r="D198" s="23" t="str">
        <x:v>CAMPINAS</x:v>
      </x:c>
      <x:c r="E198" s="23" t="str">
        <x:v>999@999.com.br</x:v>
      </x:c>
      <x:c r="F198" s="23" t="str">
        <x:v>1941412204</x:v>
      </x:c>
      <x:c r="G198" s="28" t="str">
        <x:v>Destinatário</x:v>
      </x:c>
      <x:c r="H198" s="29" t="n">
        <x:v>46168</x:v>
      </x:c>
      <x:c r="I198" s="29" t="n">
        <x:v>46128</x:v>
      </x:c>
      <x:c r="J198" s="30" t="str">
        <x:v>EDUARDO</x:v>
      </x:c>
      <x:c r="K198" s="30" t="str">
        <x:v>ADMINISTRATIVO - NEGOCIA FRETE</x:v>
      </x:c>
      <x:c r="L198" s="30" t="str">
        <x:v>999@999.com.br</x:v>
      </x:c>
      <x:c r="M198" s="30" t="str">
        <x:v>19993877533</x:v>
      </x:c>
    </x:row>
    <x:row r="199">
      <x:c r="A199" s="27" t="n">
        <x:v>32577</x:v>
      </x:c>
      <x:c r="B199" s="23" t="str">
        <x:v>CASA &amp; OBRA COMERCIO DE MATERIAIS PARA CONSTRUCAO LTDA</x:v>
      </x:c>
      <x:c r="C199" s="25" t="str">
        <x:f>"52031346000150"</x:f>
        <x:v>52031346000150</x:v>
      </x:c>
      <x:c r="D199" s="23" t="str">
        <x:v>SÃO BERNARDO DO CAMPO</x:v>
      </x:c>
      <x:c r="E199" s="23" t="str">
        <x:v>compras@cardeal.com.br</x:v>
      </x:c>
      <x:c r="F199" s="23" t="str">
        <x:v>11996028981</x:v>
      </x:c>
      <x:c r="G199" s="28" t="str">
        <x:v>Destinatário</x:v>
      </x:c>
      <x:c r="H199" s="29" t="n">
        <x:v>46129</x:v>
      </x:c>
      <x:c r="I199" s="29" t="n">
        <x:v>46129</x:v>
      </x:c>
      <x:c r="J199" s="30" t="str">
        <x:v>CARDEAL</x:v>
      </x:c>
      <x:c r="K199" s="30" t="str">
        <x:v>COMPRAS</x:v>
      </x:c>
      <x:c r="L199" s="30" t="str">
        <x:v>compras@cardeal.com.br</x:v>
      </x:c>
      <x:c r="M199" s="30" t="str">
        <x:v>11996028981</x:v>
      </x:c>
    </x:row>
    <x:row r="200">
      <x:c r="A200" s="27" t="n">
        <x:v>32579</x:v>
      </x:c>
      <x:c r="B200" s="23" t="str">
        <x:v>TECNOROAD RODAS E PNEUS PARA TRATORES LTDA</x:v>
      </x:c>
      <x:c r="C200" s="25" t="str">
        <x:f>"60473139000184"</x:f>
        <x:v>60473139000184</x:v>
      </x:c>
      <x:c r="D200" s="23" t="str">
        <x:v>AMERICANA</x:v>
      </x:c>
      <x:c r="E200" s="23" t="str">
        <x:v>tecnoroad@tecnoroad.com.br</x:v>
      </x:c>
      <x:c r="F200" s="23" t="str">
        <x:v>1934789470</x:v>
      </x:c>
      <x:c r="G200" s="28" t="str">
        <x:v>Destinatário</x:v>
      </x:c>
      <x:c r="H200" s="29" t="n">
        <x:v>46167</x:v>
      </x:c>
      <x:c r="I200" s="29" t="n">
        <x:v>46129</x:v>
      </x:c>
      <x:c r="J200" s="30" t="str">
        <x:v>GABRIEL</x:v>
      </x:c>
      <x:c r="K200" s="30" t="str">
        <x:v>ADMINISTRATIVO - NEGOCIA FRETE</x:v>
      </x:c>
      <x:c r="L200" s="30" t="str">
        <x:v>financeiro@tecnoroad.com.br</x:v>
      </x:c>
      <x:c r="M200" s="30" t="str">
        <x:v>1934789470</x:v>
      </x:c>
    </x:row>
    <x:row r="201">
      <x:c r="A201" s="27" t="n">
        <x:v>32580</x:v>
      </x:c>
      <x:c r="B201" s="23" t="str">
        <x:v>SIMEI FARIA DE SOUZA</x:v>
      </x:c>
      <x:c r="C201" s="25" t="str">
        <x:f>"37917664000120"</x:f>
        <x:v>37917664000120</x:v>
      </x:c>
      <x:c r="D201" s="23" t="str">
        <x:v>LUCIANÓPOLIS</x:v>
      </x:c>
      <x:c r="E201" s="23" t="str">
        <x:v>NASCIMENTO.ESCRITORIO@GMAIL.COM</x:v>
      </x:c>
      <x:c r="F201" s="23" t="str">
        <x:v>1432861162</x:v>
      </x:c>
      <x:c r="G201" s="28" t="str">
        <x:v>Destinatário</x:v>
      </x:c>
      <x:c r="H201" s="29" t="n">
        <x:v>46129</x:v>
      </x:c>
      <x:c r="I201" s="29" t="n">
        <x:v>46132</x:v>
      </x:c>
      <x:c r="J201" s="30" t="str"/>
      <x:c r="K201" s="30" t="str"/>
      <x:c r="L201" s="30" t="str"/>
      <x:c r="M201" s="30" t="str"/>
    </x:row>
    <x:row r="202">
      <x:c r="A202" s="27" t="n">
        <x:v>32587</x:v>
      </x:c>
      <x:c r="B202" s="23" t="str">
        <x:v>GREENPARKS DESENVOLVIMENTO IMOBILIARIO SPE LTDA</x:v>
      </x:c>
      <x:c r="C202" s="25" t="str">
        <x:f>"25282324000190"</x:f>
        <x:v>25282324000190</x:v>
      </x:c>
      <x:c r="D202" s="23" t="str">
        <x:v>VALINHOS</x:v>
      </x:c>
      <x:c r="E202" s="23" t="str">
        <x:v>GREENPARCKS@HOTMAIL.COM</x:v>
      </x:c>
      <x:c r="F202" s="23" t="str">
        <x:v>1938295488</x:v>
      </x:c>
      <x:c r="G202" s="28" t="str">
        <x:v>Destinatário</x:v>
      </x:c>
      <x:c r="H202" s="29" t="n">
        <x:v>46134</x:v>
      </x:c>
      <x:c r="I202" s="29" t="n">
        <x:v>46134</x:v>
      </x:c>
      <x:c r="J202" s="30" t="str"/>
      <x:c r="K202" s="30" t="str"/>
      <x:c r="L202" s="30" t="str"/>
      <x:c r="M202" s="30" t="str"/>
    </x:row>
    <x:row r="203">
      <x:c r="A203" s="27" t="n">
        <x:v>32589</x:v>
      </x:c>
      <x:c r="B203" s="23" t="str">
        <x:v>BRAMOL TINTAS FRANCA LTDA</x:v>
      </x:c>
      <x:c r="C203" s="25" t="str">
        <x:f>"65735406000168"</x:f>
        <x:v>65735406000168</x:v>
      </x:c>
      <x:c r="D203" s="23" t="str">
        <x:v>FRANCA</x:v>
      </x:c>
      <x:c r="E203" s="23" t="str">
        <x:v>BRAMOL@HOTMAIL.COM</x:v>
      </x:c>
      <x:c r="F203" s="23" t="str">
        <x:v>3433366226</x:v>
      </x:c>
      <x:c r="G203" s="28" t="str">
        <x:v>Destinatário</x:v>
      </x:c>
      <x:c r="H203" s="29" t="n">
        <x:v>46168</x:v>
      </x:c>
      <x:c r="I203" s="29" t="n">
        <x:v>46134</x:v>
      </x:c>
      <x:c r="J203" s="30" t="str">
        <x:v>JUNIOR</x:v>
      </x:c>
      <x:c r="K203" s="30" t="str">
        <x:v>COMERCIAL</x:v>
      </x:c>
      <x:c r="L203" s="30" t="str">
        <x:v>junior@bramol.com.br</x:v>
      </x:c>
      <x:c r="M203" s="30" t="str">
        <x:v>1637206226</x:v>
      </x:c>
    </x:row>
    <x:row r="204">
      <x:c r="A204" s="27" t="n">
        <x:v>32590</x:v>
      </x:c>
      <x:c r="B204" s="23" t="str">
        <x:v>NOVAK &amp; GOUVEIA LTDA</x:v>
      </x:c>
      <x:c r="C204" s="25" t="str">
        <x:f>"61151759000160"</x:f>
        <x:v>61151759000160</x:v>
      </x:c>
      <x:c r="D204" s="23" t="str">
        <x:v>SÃO PAULO</x:v>
      </x:c>
      <x:c r="E204" s="23" t="str">
        <x:v>nfe@novakgouveia.com.br</x:v>
      </x:c>
      <x:c r="F204" s="23" t="str">
        <x:v>1139774030</x:v>
      </x:c>
      <x:c r="G204" s="28" t="str">
        <x:v>Destinatário</x:v>
      </x:c>
      <x:c r="H204" s="29" t="n">
        <x:v>46134</x:v>
      </x:c>
      <x:c r="I204" s="29" t="n">
        <x:v>46220</x:v>
      </x:c>
      <x:c r="J204" s="30" t="str">
        <x:v>RAFAEL</x:v>
      </x:c>
      <x:c r="K204" s="30" t="str">
        <x:v>LOGISTICA</x:v>
      </x:c>
      <x:c r="L204" s="30" t="str">
        <x:v>mmd@novakgouveia.com.br</x:v>
      </x:c>
      <x:c r="M204" s="30" t="str">
        <x:v>11999876623</x:v>
      </x:c>
    </x:row>
    <x:row r="205">
      <x:c r="A205" s="27" t="n">
        <x:v>32593</x:v>
      </x:c>
      <x:c r="B205" s="23" t="str">
        <x:v>VIDA NOVA MATERIAIS PARA CONSTRUCAO LTDA</x:v>
      </x:c>
      <x:c r="C205" s="25" t="str">
        <x:f>"48926974000127"</x:f>
        <x:v>48926974000127</x:v>
      </x:c>
      <x:c r="D205" s="23" t="str">
        <x:v>SÃO JOSÉ DO RIO PRETO</x:v>
      </x:c>
      <x:c r="E205" s="23" t="str">
        <x:v>VIDANOVA@HOTMAIL.COM</x:v>
      </x:c>
      <x:c r="F205" s="23" t="str">
        <x:v>17992208690</x:v>
      </x:c>
      <x:c r="G205" s="28" t="str">
        <x:v>Destinatário</x:v>
      </x:c>
      <x:c r="H205" s="29" t="n">
        <x:v>46167</x:v>
      </x:c>
      <x:c r="I205" s="29" t="n">
        <x:v>46134</x:v>
      </x:c>
      <x:c r="J205" s="30" t="str">
        <x:v>DANIEL</x:v>
      </x:c>
      <x:c r="K205" s="30" t="str">
        <x:v>COMPRAS</x:v>
      </x:c>
      <x:c r="L205" s="30" t="str">
        <x:v>VIDANOVA@HOTMAIL.COM</x:v>
      </x:c>
      <x:c r="M205" s="30" t="str">
        <x:v>11965728450</x:v>
      </x:c>
    </x:row>
    <x:row r="206">
      <x:c r="A206" s="27" t="n">
        <x:v>32600</x:v>
      </x:c>
      <x:c r="B206" s="23" t="str">
        <x:v>HARMONIA RESIDENCIAL EMPREENDIMENTO IMOBILIARIO SPE LTDA</x:v>
      </x:c>
      <x:c r="C206" s="25" t="str">
        <x:f>"50936553000129"</x:f>
        <x:v>50936553000129</x:v>
      </x:c>
      <x:c r="D206" s="23" t="str">
        <x:v>INDAIATUBA</x:v>
      </x:c>
      <x:c r="E206" s="23" t="str">
        <x:v>SOCIETARIO@RIVCONTABILIDADE.COM.BR</x:v>
      </x:c>
      <x:c r="F206" s="23" t="str">
        <x:v>1129599830</x:v>
      </x:c>
      <x:c r="G206" s="28" t="str">
        <x:v>Destinatário</x:v>
      </x:c>
      <x:c r="H206" s="29" t="n">
        <x:v>46135</x:v>
      </x:c>
      <x:c r="I206" s="29" t="n">
        <x:v>46135</x:v>
      </x:c>
      <x:c r="J206" s="30" t="str"/>
      <x:c r="K206" s="30" t="str"/>
      <x:c r="L206" s="30" t="str"/>
      <x:c r="M206" s="30" t="str"/>
    </x:row>
    <x:row r="207">
      <x:c r="A207" s="27" t="n">
        <x:v>32601</x:v>
      </x:c>
      <x:c r="B207" s="23" t="str">
        <x:v>CARVALHO CENTER TUDO LTDA</x:v>
      </x:c>
      <x:c r="C207" s="25" t="str">
        <x:f>"47036845000109"</x:f>
        <x:v>47036845000109</x:v>
      </x:c>
      <x:c r="D207" s="23" t="str">
        <x:v>SÃO JOSÉ DO RIO PRETO</x:v>
      </x:c>
      <x:c r="E207" s="23" t="str">
        <x:v>CARVALHO@HOTMAIL.COM</x:v>
      </x:c>
      <x:c r="F207" s="23" t="str">
        <x:v>17991550050</x:v>
      </x:c>
      <x:c r="G207" s="28" t="str">
        <x:v>Destinatário</x:v>
      </x:c>
      <x:c r="H207" s="29" t="n">
        <x:v>46135</x:v>
      </x:c>
      <x:c r="I207" s="29" t="n">
        <x:v>46135</x:v>
      </x:c>
      <x:c r="J207" s="30" t="str"/>
      <x:c r="K207" s="30" t="str"/>
      <x:c r="L207" s="30" t="str"/>
      <x:c r="M207" s="30" t="str"/>
    </x:row>
    <x:row r="208">
      <x:c r="A208" s="27" t="n">
        <x:v>32622</x:v>
      </x:c>
      <x:c r="B208" s="23" t="str">
        <x:v>TED DISTRIBUIDORA LTDA</x:v>
      </x:c>
      <x:c r="C208" s="25" t="str">
        <x:f>"43842024000109"</x:f>
        <x:v>43842024000109</x:v>
      </x:c>
      <x:c r="D208" s="23" t="str">
        <x:v>LEME</x:v>
      </x:c>
      <x:c r="E208" s="23" t="str">
        <x:v>ateddistribuidora@gmail.com</x:v>
      </x:c>
      <x:c r="F208" s="23" t="str">
        <x:v>19993691947</x:v>
      </x:c>
      <x:c r="G208" s="28" t="str">
        <x:v>Destinatário</x:v>
      </x:c>
      <x:c r="H208" s="29" t="n">
        <x:v>46139</x:v>
      </x:c>
      <x:c r="I208" s="29" t="n">
        <x:v>46139</x:v>
      </x:c>
      <x:c r="J208" s="30" t="str">
        <x:v>DANILO</x:v>
      </x:c>
      <x:c r="K208" s="30" t="str">
        <x:v>EXPEDICAO</x:v>
      </x:c>
      <x:c r="L208" s="30" t="str">
        <x:v>ateddistribuidora@gmail.com</x:v>
      </x:c>
      <x:c r="M208" s="30" t="str">
        <x:v>19993691947</x:v>
      </x:c>
    </x:row>
    <x:row r="209">
      <x:c r="A209" s="27" t="n">
        <x:v>32623</x:v>
      </x:c>
      <x:c r="B209" s="23" t="str">
        <x:v>JL TINTAS AUTOMOTIVAS LTDA</x:v>
      </x:c>
      <x:c r="C209" s="25" t="str">
        <x:f>"40090286000168"</x:f>
        <x:v>40090286000168</x:v>
      </x:c>
      <x:c r="D209" s="23" t="str">
        <x:v>BATATAIS</x:v>
      </x:c>
      <x:c r="E209" s="23" t="str">
        <x:v>jltintasautomotivas@hotmail.com</x:v>
      </x:c>
      <x:c r="F209" s="23" t="str">
        <x:v>1636610475</x:v>
      </x:c>
      <x:c r="G209" s="28" t="str">
        <x:v>Destinatário</x:v>
      </x:c>
      <x:c r="H209" s="29" t="n">
        <x:v>46171</x:v>
      </x:c>
      <x:c r="I209" s="29" t="n">
        <x:v>46139</x:v>
      </x:c>
      <x:c r="J209" s="30" t="str">
        <x:v>JUNIOR</x:v>
      </x:c>
      <x:c r="K209" s="30" t="str">
        <x:v>COMPRAS</x:v>
      </x:c>
      <x:c r="L209" s="30" t="str">
        <x:v>jltintasautomotivas@hotmail.com</x:v>
      </x:c>
      <x:c r="M209" s="30" t="str">
        <x:v>1636622050</x:v>
      </x:c>
    </x:row>
    <x:row r="210">
      <x:c r="A210" s="27" t="n">
        <x:v>32626</x:v>
      </x:c>
      <x:c r="B210" s="23" t="str">
        <x:v>JP RIO PRETO TINTA IMOBILIARIA LTDA</x:v>
      </x:c>
      <x:c r="C210" s="25" t="str">
        <x:f>"59251517000449"</x:f>
        <x:v>59251517000449</x:v>
      </x:c>
      <x:c r="D210" s="23" t="str">
        <x:v>SÃO JOSÉ DO RIO PRETO</x:v>
      </x:c>
      <x:c r="E210" s="23" t="str">
        <x:v>SOCIETARIO@SALOMAOCONTABILIDADE.COM.BR</x:v>
      </x:c>
      <x:c r="F210" s="23" t="str">
        <x:v>1733044800</x:v>
      </x:c>
      <x:c r="G210" s="28" t="str">
        <x:v>Destinatário</x:v>
      </x:c>
      <x:c r="H210" s="29" t="n">
        <x:v>46136</x:v>
      </x:c>
      <x:c r="I210" s="29" t="n">
        <x:v>46136</x:v>
      </x:c>
      <x:c r="J210" s="30" t="str">
        <x:v>CARLOS</x:v>
      </x:c>
      <x:c r="K210" s="30" t="str">
        <x:v>COMERCIAL</x:v>
      </x:c>
      <x:c r="L210" s="30" t="str">
        <x:v>SOCIETARIO@SALOMAOCONTABILIDADE.COM.BR</x:v>
      </x:c>
      <x:c r="M210" s="30" t="str">
        <x:v>1733044800</x:v>
      </x:c>
    </x:row>
    <x:row r="211">
      <x:c r="A211" s="27" t="n">
        <x:v>32638</x:v>
      </x:c>
      <x:c r="B211" s="23" t="str">
        <x:v>SAO LUIZ PARAFUSOS E FERRAGENS LTDA</x:v>
      </x:c>
      <x:c r="C211" s="25" t="str">
        <x:f>"42583769000120"</x:f>
        <x:v>42583769000120</x:v>
      </x:c>
      <x:c r="D211" s="23" t="str">
        <x:v>ANDRADINA</x:v>
      </x:c>
      <x:c r="E211" s="23" t="str">
        <x:v>SAOLUIZPFF@HOTMAIL.COM</x:v>
      </x:c>
      <x:c r="F211" s="23" t="str">
        <x:v>1897021689</x:v>
      </x:c>
      <x:c r="G211" s="28" t="str">
        <x:v>Destinatário</x:v>
      </x:c>
      <x:c r="H211" s="29" t="n">
        <x:v>46140</x:v>
      </x:c>
      <x:c r="I211" s="29" t="n">
        <x:v>46140</x:v>
      </x:c>
      <x:c r="J211" s="30" t="str">
        <x:v>CARLOS</x:v>
      </x:c>
      <x:c r="K211" s="30" t="str">
        <x:v>COMERCIAL</x:v>
      </x:c>
      <x:c r="L211" s="30" t="str">
        <x:v>SAOLUIZPFF@HOTMAIL.COM</x:v>
      </x:c>
      <x:c r="M211" s="30" t="str">
        <x:v>18997021689</x:v>
      </x:c>
    </x:row>
    <x:row r="212">
      <x:c r="A212" s="27" t="n">
        <x:v>32649</x:v>
      </x:c>
      <x:c r="B212" s="23" t="str">
        <x:v>CASA DA MADEIRA MOVEIS LTDA</x:v>
      </x:c>
      <x:c r="C212" s="25" t="str">
        <x:f>"49009547000147"</x:f>
        <x:v>49009547000147</x:v>
      </x:c>
      <x:c r="D212" s="23" t="str">
        <x:v>VOTUPORANGA</x:v>
      </x:c>
      <x:c r="E212" s="23" t="str">
        <x:v>casadamadeiramoveis@casadamadeiramoveis.com.br</x:v>
      </x:c>
      <x:c r="F212" s="23" t="str">
        <x:v>17991365156</x:v>
      </x:c>
      <x:c r="G212" s="28" t="str">
        <x:v>Destinatário</x:v>
      </x:c>
      <x:c r="H212" s="29" t="n">
        <x:v>46140</x:v>
      </x:c>
      <x:c r="I212" s="29" t="n">
        <x:v>46140</x:v>
      </x:c>
      <x:c r="J212" s="30" t="str">
        <x:v>ELAINE CRISTINA</x:v>
      </x:c>
      <x:c r="K212" s="30" t="str">
        <x:v>ADMINISTRATIVO - NEGOCIA FRETE</x:v>
      </x:c>
      <x:c r="L212" s="30" t="str">
        <x:v>casadamadeiramoveis@casadamadeiramoveis.com.br</x:v>
      </x:c>
      <x:c r="M212" s="30" t="str">
        <x:v>17991365156</x:v>
      </x:c>
    </x:row>
    <x:row r="213">
      <x:c r="A213" s="27" t="n">
        <x:v>32651</x:v>
      </x:c>
      <x:c r="B213" s="23" t="str">
        <x:v>WS AUTO STORE PRODUTOS AUTOMOTIVOS LTDA</x:v>
      </x:c>
      <x:c r="C213" s="25" t="str">
        <x:f>"48117258000107"</x:f>
        <x:v>48117258000107</x:v>
      </x:c>
      <x:c r="D213" s="23" t="str">
        <x:v>CARAPICUÍBA</x:v>
      </x:c>
      <x:c r="E213" s="23" t="str">
        <x:v>vilustro@vilustro.com.br</x:v>
      </x:c>
      <x:c r="F213" s="23" t="str">
        <x:v>11951505334</x:v>
      </x:c>
      <x:c r="G213" s="28" t="str">
        <x:v>Destinatário</x:v>
      </x:c>
      <x:c r="H213" s="29" t="n">
        <x:v>46164</x:v>
      </x:c>
      <x:c r="I213" s="29" t="n">
        <x:v>46141</x:v>
      </x:c>
      <x:c r="J213" s="30" t="str">
        <x:v>ERIC
WESLEY</x:v>
      </x:c>
      <x:c r="K213" s="30" t="str">
        <x:v>COMERCIAL
ADMINISTRATIVO - NEGOCIA FRETE</x:v>
      </x:c>
      <x:c r="L213" s="30" t="str">
        <x:v>vilustro@vilustro.com.br
ws.storeauto@outlook.com</x:v>
      </x:c>
      <x:c r="M213" s="30" t="str">
        <x:v>11951505334
1141845742</x:v>
      </x:c>
    </x:row>
    <x:row r="214">
      <x:c r="A214" s="27" t="n">
        <x:v>32652</x:v>
      </x:c>
      <x:c r="B214" s="23" t="str">
        <x:v>CONSTRUPRIMO LTDA</x:v>
      </x:c>
      <x:c r="C214" s="25" t="str">
        <x:f>"54877988000109"</x:f>
        <x:v>54877988000109</x:v>
      </x:c>
      <x:c r="D214" s="23" t="str">
        <x:v>BRAGANÇA PAULISTA</x:v>
      </x:c>
      <x:c r="E214" s="23" t="str">
        <x:v>MATERIAISCONSTRUPRIMO@GMAIL.COM</x:v>
      </x:c>
      <x:c r="F214" s="23" t="str">
        <x:v>11973306552</x:v>
      </x:c>
      <x:c r="G214" s="28" t="str">
        <x:v>Destinatário</x:v>
      </x:c>
      <x:c r="H214" s="29" t="n">
        <x:v>46141</x:v>
      </x:c>
      <x:c r="I214" s="29" t="n">
        <x:v>46141</x:v>
      </x:c>
      <x:c r="J214" s="30" t="str"/>
      <x:c r="K214" s="30" t="str"/>
      <x:c r="L214" s="30" t="str"/>
      <x:c r="M214" s="30" t="str"/>
    </x:row>
    <x:row r="215">
      <x:c r="A215" s="27" t="n">
        <x:v>32656</x:v>
      </x:c>
      <x:c r="B215" s="23" t="str">
        <x:v>TIAO MATERIAIS PARA CONSTRUCAO LTDA</x:v>
      </x:c>
      <x:c r="C215" s="25" t="str">
        <x:f>"05011450000101"</x:f>
        <x:v>05011450000101</x:v>
      </x:c>
      <x:c r="D215" s="23" t="str">
        <x:v>BOITUVA</x:v>
      </x:c>
      <x:c r="E215" s="23" t="str">
        <x:v>EDMAR@TIAOMATERIAISCONSTRUCAO.COM.BR</x:v>
      </x:c>
      <x:c r="F215" s="23" t="str">
        <x:v>1150398275</x:v>
      </x:c>
      <x:c r="G215" s="28" t="str">
        <x:v>Destinatário</x:v>
      </x:c>
      <x:c r="H215" s="29" t="n">
        <x:v>46141</x:v>
      </x:c>
      <x:c r="I215" s="29" t="n">
        <x:v>46141</x:v>
      </x:c>
      <x:c r="J215" s="30" t="str"/>
      <x:c r="K215" s="30" t="str"/>
      <x:c r="L215" s="30" t="str"/>
      <x:c r="M215" s="30" t="str"/>
    </x:row>
    <x:row r="216">
      <x:c r="A216" s="27" t="n">
        <x:v>32659</x:v>
      </x:c>
      <x:c r="B216" s="23" t="str">
        <x:v>CRISART ARTESANATOS LTDA</x:v>
      </x:c>
      <x:c r="C216" s="25" t="str">
        <x:f>"58694217000129"</x:f>
        <x:v>58694217000129</x:v>
      </x:c>
      <x:c r="D216" s="23" t="str">
        <x:v>CAMPINAS</x:v>
      </x:c>
      <x:c r="E216" s="23" t="str">
        <x:v>contato@crisart.com.br</x:v>
      </x:c>
      <x:c r="F216" s="23" t="str">
        <x:v>1932360892</x:v>
      </x:c>
      <x:c r="G216" s="28" t="str">
        <x:v>Destinatário</x:v>
      </x:c>
      <x:c r="H216" s="29" t="n">
        <x:v>46167</x:v>
      </x:c>
      <x:c r="I216" s="29" t="n">
        <x:v>46141</x:v>
      </x:c>
      <x:c r="J216" s="30" t="str">
        <x:v>ALEXANDRE ROBERTO</x:v>
      </x:c>
      <x:c r="K216" s="30" t="str">
        <x:v>ADMINISTRATIVO - NEGOCIA FRETE</x:v>
      </x:c>
      <x:c r="L216" s="30" t="str">
        <x:v>contato@crisart.com.br</x:v>
      </x:c>
      <x:c r="M216" s="30" t="str">
        <x:v>1937399233</x:v>
      </x:c>
    </x:row>
    <x:row r="217">
      <x:c r="A217" s="27" t="n">
        <x:v>32660</x:v>
      </x:c>
      <x:c r="B217" s="23" t="str">
        <x:v>DEU BOM VAREJO DA CONSTRUCAO LTDA</x:v>
      </x:c>
      <x:c r="C217" s="25" t="str">
        <x:f>"13354144000198"</x:f>
        <x:v>13354144000198</x:v>
      </x:c>
      <x:c r="D217" s="23" t="str">
        <x:v>PROMISSÃO</x:v>
      </x:c>
      <x:c r="E217" s="23" t="str">
        <x:v>AGILASSESSORIACONTABIL@HOTMAIL.COM</x:v>
      </x:c>
      <x:c r="F217" s="23" t="str">
        <x:v>1435416311</x:v>
      </x:c>
      <x:c r="G217" s="28" t="str">
        <x:v>Destinatário</x:v>
      </x:c>
      <x:c r="H217" s="29" t="n">
        <x:v>46171</x:v>
      </x:c>
      <x:c r="I217" s="29" t="n">
        <x:v>46141</x:v>
      </x:c>
      <x:c r="J217" s="30" t="str">
        <x:v>DANILO</x:v>
      </x:c>
      <x:c r="K217" s="30" t="str">
        <x:v>LOGISTICA</x:v>
      </x:c>
      <x:c r="L217" s="30" t="str">
        <x:v>deubomatacado@gmail.com</x:v>
      </x:c>
      <x:c r="M217" s="30" t="str">
        <x:v>14997903392</x:v>
      </x:c>
    </x:row>
    <x:row r="218">
      <x:c r="A218" s="27" t="n">
        <x:v>32663</x:v>
      </x:c>
      <x:c r="B218" s="23" t="str">
        <x:v>GLOBB IMPORTACAO E EXPORTACAO LTDA</x:v>
      </x:c>
      <x:c r="C218" s="25" t="str">
        <x:f>"39456096000132"</x:f>
        <x:v>39456096000132</x:v>
      </x:c>
      <x:c r="D218" s="23" t="str">
        <x:v>PEDERNEIRAS</x:v>
      </x:c>
      <x:c r="E218" s="23" t="str">
        <x:v>junior@rlp.net.br</x:v>
      </x:c>
      <x:c r="F218" s="23" t="str"/>
      <x:c r="G218" s="28" t="str">
        <x:v>Destinatário</x:v>
      </x:c>
      <x:c r="H218" s="29" t="n">
        <x:v>46146</x:v>
      </x:c>
      <x:c r="I218" s="29" t="n">
        <x:v>46143</x:v>
      </x:c>
      <x:c r="J218" s="30" t="str">
        <x:v>NAO LIBERADO CONTATO</x:v>
      </x:c>
      <x:c r="K218" s="30" t="str">
        <x:v>COMERCIAL</x:v>
      </x:c>
      <x:c r="L218" s="30" t="str">
        <x:v>junior@rlp.net.br</x:v>
      </x:c>
      <x:c r="M218" s="30" t="str">
        <x:v>1511111111</x:v>
      </x:c>
    </x:row>
    <x:row r="219">
      <x:c r="A219" s="27" t="n">
        <x:v>32673</x:v>
      </x:c>
      <x:c r="B219" s="23" t="str">
        <x:v>UNIAO PINHAL COMERCIO DE TINTAS LTDA</x:v>
      </x:c>
      <x:c r="C219" s="25" t="str">
        <x:f>"11454425000510"</x:f>
        <x:v>11454425000510</x:v>
      </x:c>
      <x:c r="D219" s="23" t="str">
        <x:v>SÃO JOÃO DA BOA VISTA</x:v>
      </x:c>
      <x:c r="E219" s="23" t="str">
        <x:v>DIRETORIA@FISCOBRASIL.NET.BR</x:v>
      </x:c>
      <x:c r="F219" s="23" t="str">
        <x:v>19981676653</x:v>
      </x:c>
      <x:c r="G219" s="28" t="str">
        <x:v>Destinatário</x:v>
      </x:c>
      <x:c r="H219" s="29" t="n">
        <x:v>46175</x:v>
      </x:c>
      <x:c r="I219" s="29" t="n">
        <x:v>46147</x:v>
      </x:c>
      <x:c r="J219" s="30" t="str">
        <x:v>DITO</x:v>
      </x:c>
      <x:c r="K219" s="30" t="str">
        <x:v>COMPRAS</x:v>
      </x:c>
      <x:c r="L219" s="30" t="str">
        <x:v>diretoria@lojasuniaotintas.com.br</x:v>
      </x:c>
      <x:c r="M219" s="30" t="str">
        <x:v>11965728450</x:v>
      </x:c>
    </x:row>
    <x:row r="220">
      <x:c r="A220" s="27" t="n">
        <x:v>32675</x:v>
      </x:c>
      <x:c r="B220" s="23" t="str">
        <x:v>P.H.E. TINTAS, HIDRAULICA E ELETRICA LTDA</x:v>
      </x:c>
      <x:c r="C220" s="25" t="str">
        <x:f>"02364587005889"</x:f>
        <x:v>02364587005889</x:v>
      </x:c>
      <x:c r="D220" s="23" t="str">
        <x:v>NOVA ODESSA</x:v>
      </x:c>
      <x:c r="E220" s="23" t="str">
        <x:v>silas@corbellatintas.com.br</x:v>
      </x:c>
      <x:c r="F220" s="23" t="str">
        <x:v>1932765011</x:v>
      </x:c>
      <x:c r="G220" s="28" t="str">
        <x:v>Destinatário</x:v>
      </x:c>
      <x:c r="H220" s="29" t="n">
        <x:v>46147</x:v>
      </x:c>
      <x:c r="I220" s="29" t="n">
        <x:v>46147</x:v>
      </x:c>
      <x:c r="J220" s="30" t="str">
        <x:v>SILAS</x:v>
      </x:c>
      <x:c r="K220" s="30" t="str">
        <x:v>EXPEDICAO</x:v>
      </x:c>
      <x:c r="L220" s="30" t="str">
        <x:v>silas@corbellatintas.com.br</x:v>
      </x:c>
      <x:c r="M220" s="30" t="str">
        <x:v>1932765011</x:v>
      </x:c>
    </x:row>
    <x:row r="221">
      <x:c r="A221" s="27" t="n">
        <x:v>32676</x:v>
      </x:c>
      <x:c r="B221" s="23" t="str">
        <x:v>41.074.975 ANTONIO CARLOS SANDI</x:v>
      </x:c>
      <x:c r="C221" s="25" t="str">
        <x:f>"41074975000141"</x:f>
        <x:v>41074975000141</x:v>
      </x:c>
      <x:c r="D221" s="23" t="str">
        <x:v>PAULÍNIA</x:v>
      </x:c>
      <x:c r="E221" s="23" t="str">
        <x:v>sandieletro@hotmail.com</x:v>
      </x:c>
      <x:c r="F221" s="23" t="str">
        <x:v>1939334148</x:v>
      </x:c>
      <x:c r="G221" s="28" t="str">
        <x:v>Destinatário</x:v>
      </x:c>
      <x:c r="H221" s="29" t="n">
        <x:v>46164</x:v>
      </x:c>
      <x:c r="I221" s="29" t="n">
        <x:v>46147</x:v>
      </x:c>
      <x:c r="J221" s="30" t="str">
        <x:v>ANTONIO</x:v>
      </x:c>
      <x:c r="K221" s="30" t="str">
        <x:v>LOGISTICA</x:v>
      </x:c>
      <x:c r="L221" s="30" t="str">
        <x:v>sandieletro@hotmail.com</x:v>
      </x:c>
      <x:c r="M221" s="30" t="str">
        <x:v>19998589525</x:v>
      </x:c>
    </x:row>
    <x:row r="222">
      <x:c r="A222" s="27" t="n">
        <x:v>32682</x:v>
      </x:c>
      <x:c r="B222" s="23" t="str">
        <x:v>ARALUX COMERCIO DE MATERIAS ELETRICOS LTDA</x:v>
      </x:c>
      <x:c r="C222" s="25" t="str">
        <x:f>"20319618000126"</x:f>
        <x:v>20319618000126</x:v>
      </x:c>
      <x:c r="D222" s="23" t="str">
        <x:v>ARARAS</x:v>
      </x:c>
      <x:c r="E222" s="23" t="str">
        <x:v>CONTABIL@ESCUNIVERSAL.COM.BR</x:v>
      </x:c>
      <x:c r="F222" s="23" t="str">
        <x:v>1933515800</x:v>
      </x:c>
      <x:c r="G222" s="28" t="str">
        <x:v>Destinatário</x:v>
      </x:c>
      <x:c r="H222" s="29" t="n">
        <x:v>46148</x:v>
      </x:c>
      <x:c r="I222" s="29" t="n">
        <x:v>46148</x:v>
      </x:c>
      <x:c r="J222" s="30" t="str"/>
      <x:c r="K222" s="30" t="str"/>
      <x:c r="L222" s="30" t="str"/>
      <x:c r="M222" s="30" t="str"/>
    </x:row>
    <x:row r="223">
      <x:c r="A223" s="27" t="n">
        <x:v>32683</x:v>
      </x:c>
      <x:c r="B223" s="23" t="str">
        <x:v>FORTCLEAN INDUSTRIA TEXTIL LTDA</x:v>
      </x:c>
      <x:c r="C223" s="25" t="str">
        <x:f>"38427499000190"</x:f>
        <x:v>38427499000190</x:v>
      </x:c>
      <x:c r="D223" s="23" t="str">
        <x:v>SANTO ANTÔNIO DE POSSE</x:v>
      </x:c>
      <x:c r="E223" s="23" t="str">
        <x:v>FISCAL@MBOASSESSORIA.COM.BR</x:v>
      </x:c>
      <x:c r="F223" s="23" t="str">
        <x:v>1938962101</x:v>
      </x:c>
      <x:c r="G223" s="28" t="str">
        <x:v>Destinatário</x:v>
      </x:c>
      <x:c r="H223" s="29" t="n">
        <x:v>46149</x:v>
      </x:c>
      <x:c r="I223" s="29" t="n">
        <x:v>46149</x:v>
      </x:c>
      <x:c r="J223" s="30" t="str"/>
      <x:c r="K223" s="30" t="str"/>
      <x:c r="L223" s="30" t="str"/>
      <x:c r="M223" s="30" t="str"/>
    </x:row>
    <x:row r="224">
      <x:c r="A224" s="27" t="n">
        <x:v>32686</x:v>
      </x:c>
      <x:c r="B224" s="23" t="str">
        <x:v>RICARDO TESCAROLLO COMERCIO DE FERRAGENS</x:v>
      </x:c>
      <x:c r="C224" s="25" t="str">
        <x:f>"03752345000190"</x:f>
        <x:v>03752345000190</x:v>
      </x:c>
      <x:c r="D224" s="23" t="str">
        <x:v>ITATIBA</x:v>
      </x:c>
      <x:c r="E224" s="23" t="str">
        <x:v>RICARDOTESCAROLLO@GMAIL.COM</x:v>
      </x:c>
      <x:c r="F224" s="23" t="str">
        <x:v>11996465100</x:v>
      </x:c>
      <x:c r="G224" s="28" t="str">
        <x:v>Destinatário</x:v>
      </x:c>
      <x:c r="H224" s="29" t="n">
        <x:v>46149</x:v>
      </x:c>
      <x:c r="I224" s="29" t="n">
        <x:v>46149</x:v>
      </x:c>
      <x:c r="J224" s="30" t="str"/>
      <x:c r="K224" s="30" t="str"/>
      <x:c r="L224" s="30" t="str"/>
      <x:c r="M224" s="30" t="str"/>
    </x:row>
    <x:row r="225">
      <x:c r="A225" s="27" t="n">
        <x:v>32687</x:v>
      </x:c>
      <x:c r="B225" s="23" t="str">
        <x:v>PAULISTA RESIDENCE EMPREENDIMENTO IMOBILIARIO SPE LTDA</x:v>
      </x:c>
      <x:c r="C225" s="25" t="str">
        <x:f>"39577883000132"</x:f>
        <x:v>39577883000132</x:v>
      </x:c>
      <x:c r="D225" s="23" t="str">
        <x:v>AMERICANA</x:v>
      </x:c>
      <x:c r="E225" s="23" t="str">
        <x:v>PAULISTARESIDENCE@HOTMAIL.COM</x:v>
      </x:c>
      <x:c r="F225" s="23" t="str">
        <x:v>1934729000</x:v>
      </x:c>
      <x:c r="G225" s="28" t="str">
        <x:v>Destinatário</x:v>
      </x:c>
      <x:c r="H225" s="29" t="n">
        <x:v>46163</x:v>
      </x:c>
      <x:c r="I225" s="29" t="n">
        <x:v>46149</x:v>
      </x:c>
      <x:c r="J225" s="30" t="str">
        <x:v>ISABELA</x:v>
      </x:c>
      <x:c r="K225" s="30" t="str">
        <x:v>LOGISTICA</x:v>
      </x:c>
      <x:c r="L225" s="30" t="str">
        <x:v>PAULISTARESIDENCE@HOTMAIL.COM</x:v>
      </x:c>
      <x:c r="M225" s="30" t="str">
        <x:v>11965728450</x:v>
      </x:c>
    </x:row>
    <x:row r="226">
      <x:c r="A226" s="27" t="n">
        <x:v>32691</x:v>
      </x:c>
      <x:c r="B226" s="23" t="str">
        <x:v>CONTATTO MATERIAIS CONSTRUCAO LTDA</x:v>
      </x:c>
      <x:c r="C226" s="25" t="str">
        <x:f>"62315650000183"</x:f>
        <x:v>62315650000183</x:v>
      </x:c>
      <x:c r="D226" s="23" t="str">
        <x:v>RIO CLARO</x:v>
      </x:c>
      <x:c r="E226" s="23" t="str"/>
      <x:c r="F226" s="23" t="str">
        <x:v>1935221700</x:v>
      </x:c>
      <x:c r="G226" s="28" t="str">
        <x:v>Destinatário</x:v>
      </x:c>
      <x:c r="H226" s="29" t="n">
        <x:v>46150</x:v>
      </x:c>
      <x:c r="I226" s="29" t="n">
        <x:v>46150</x:v>
      </x:c>
      <x:c r="J226" s="30" t="str">
        <x:v>JOAO</x:v>
      </x:c>
      <x:c r="K226" s="30" t="str">
        <x:v>COMPRAS</x:v>
      </x:c>
      <x:c r="L226" s="30" t="str">
        <x:v>vendas@contatto.com.br</x:v>
      </x:c>
      <x:c r="M226" s="30" t="str">
        <x:v>19996090805</x:v>
      </x:c>
    </x:row>
    <x:row r="227">
      <x:c r="A227" s="27" t="n">
        <x:v>32692</x:v>
      </x:c>
      <x:c r="B227" s="23" t="str">
        <x:v>VIVA PARQUE UNIQUE EMPREENDIMENTOS IMOBILIARIOS SPE LTDA</x:v>
      </x:c>
      <x:c r="C227" s="25" t="str">
        <x:f>"55635228000140"</x:f>
        <x:v>55635228000140</x:v>
      </x:c>
      <x:c r="D227" s="23" t="str">
        <x:v>INDAIATUBA</x:v>
      </x:c>
      <x:c r="E227" s="23" t="str">
        <x:v>SOCIETARIO@RIVCONTABILIDADE.COM.BR</x:v>
      </x:c>
      <x:c r="F227" s="23" t="str">
        <x:v>1938258080</x:v>
      </x:c>
      <x:c r="G227" s="28" t="str">
        <x:v>Destinatário</x:v>
      </x:c>
      <x:c r="H227" s="29" t="n">
        <x:v>46150</x:v>
      </x:c>
      <x:c r="I227" s="29" t="n">
        <x:v>46150</x:v>
      </x:c>
      <x:c r="J227" s="30" t="str"/>
      <x:c r="K227" s="30" t="str"/>
      <x:c r="L227" s="30" t="str"/>
      <x:c r="M227" s="30" t="str"/>
    </x:row>
    <x:row r="228">
      <x:c r="A228" s="27" t="n">
        <x:v>32693</x:v>
      </x:c>
      <x:c r="B228" s="23" t="str">
        <x:v>SAMLUX ILUMINACAO LTDA</x:v>
      </x:c>
      <x:c r="C228" s="25" t="str">
        <x:f>"23299593000134"</x:f>
        <x:v>23299593000134</x:v>
      </x:c>
      <x:c r="D228" s="23" t="str">
        <x:v>SÃO JOSÉ DO RIO PRETO</x:v>
      </x:c>
      <x:c r="E228" s="23" t="str">
        <x:v>SAMUEL@SAMLUX.COM.BR</x:v>
      </x:c>
      <x:c r="F228" s="23" t="str">
        <x:v>17981216659</x:v>
      </x:c>
      <x:c r="G228" s="28" t="str">
        <x:v>Destinatário</x:v>
      </x:c>
      <x:c r="H228" s="29" t="n">
        <x:v>46150</x:v>
      </x:c>
      <x:c r="I228" s="29" t="n">
        <x:v>46150</x:v>
      </x:c>
      <x:c r="J228" s="30" t="str"/>
      <x:c r="K228" s="30" t="str"/>
      <x:c r="L228" s="30" t="str"/>
      <x:c r="M228" s="30" t="str"/>
    </x:row>
    <x:row r="229">
      <x:c r="A229" s="27" t="n">
        <x:v>32695</x:v>
      </x:c>
      <x:c r="B229" s="23" t="str">
        <x:v>RESIDENCIAL NOVA QUINTA EMPR IMOBILIARIOS SPE LTDA</x:v>
      </x:c>
      <x:c r="C229" s="25" t="str">
        <x:f>"35129835000120"</x:f>
        <x:v>35129835000120</x:v>
      </x:c>
      <x:c r="D229" s="23" t="str">
        <x:v>BAURU</x:v>
      </x:c>
      <x:c r="E229" s="23" t="str">
        <x:v>NF.SERVICOS@ECOVITACONSTRUTORA.COM.BR</x:v>
      </x:c>
      <x:c r="F229" s="23" t="str">
        <x:v>1432048604</x:v>
      </x:c>
      <x:c r="G229" s="28" t="str">
        <x:v>Destinatário</x:v>
      </x:c>
      <x:c r="H229" s="29" t="n">
        <x:v>46153</x:v>
      </x:c>
      <x:c r="I229" s="29" t="n">
        <x:v>46153</x:v>
      </x:c>
      <x:c r="J229" s="30" t="str">
        <x:v>CARLOS</x:v>
      </x:c>
      <x:c r="K229" s="30" t="str">
        <x:v>COMERCIAL</x:v>
      </x:c>
      <x:c r="L229" s="30" t="str">
        <x:v>NF.SERVICOS@ECOVITACONSTRUTORA.COM.BR</x:v>
      </x:c>
      <x:c r="M229" s="30" t="str">
        <x:v>1432048604</x:v>
      </x:c>
    </x:row>
    <x:row r="230">
      <x:c r="A230" s="27" t="n">
        <x:v>32702</x:v>
      </x:c>
      <x:c r="B230" s="23" t="str">
        <x:v>RICARDO COOPERTINTAS TINTAS AUTOMOTIVAS LTDA</x:v>
      </x:c>
      <x:c r="C230" s="25" t="str">
        <x:f>"57080769000184"</x:f>
        <x:v>57080769000184</x:v>
      </x:c>
      <x:c r="D230" s="23" t="str">
        <x:v>FRANCA</x:v>
      </x:c>
      <x:c r="E230" s="23" t="str">
        <x:v>RICARDOCOUTOCOLOR@HOTMAIL.COM</x:v>
      </x:c>
      <x:c r="F230" s="23" t="str">
        <x:v>1681267039</x:v>
      </x:c>
      <x:c r="G230" s="28" t="str">
        <x:v>Destinatário</x:v>
      </x:c>
      <x:c r="H230" s="29" t="n">
        <x:v>46154</x:v>
      </x:c>
      <x:c r="I230" s="29" t="n">
        <x:v>46154</x:v>
      </x:c>
      <x:c r="J230" s="30" t="str"/>
      <x:c r="K230" s="30" t="str"/>
      <x:c r="L230" s="30" t="str"/>
      <x:c r="M230" s="30" t="str"/>
    </x:row>
    <x:row r="231">
      <x:c r="A231" s="27" t="n">
        <x:v>32704</x:v>
      </x:c>
      <x:c r="B231" s="23" t="str">
        <x:v>MRV XCI INCORPORACOES LTDA</x:v>
      </x:c>
      <x:c r="C231" s="25" t="str">
        <x:f>"40792208000296"</x:f>
        <x:v>40792208000296</x:v>
      </x:c>
      <x:c r="D231" s="23" t="str">
        <x:v>CAMPINAS</x:v>
      </x:c>
      <x:c r="E231" s="23" t="str">
        <x:v>MRVINCORPORACOES@GMAIL.COM</x:v>
      </x:c>
      <x:c r="F231" s="23" t="str">
        <x:v>15997735431</x:v>
      </x:c>
      <x:c r="G231" s="28" t="str">
        <x:v>Destinatário</x:v>
      </x:c>
      <x:c r="H231" s="29" t="n">
        <x:v>46154</x:v>
      </x:c>
      <x:c r="I231" s="29" t="n">
        <x:v>46154</x:v>
      </x:c>
      <x:c r="J231" s="30" t="str"/>
      <x:c r="K231" s="30" t="str"/>
      <x:c r="L231" s="30" t="str"/>
      <x:c r="M231" s="30" t="str"/>
    </x:row>
    <x:row r="232">
      <x:c r="A232" s="27" t="n">
        <x:v>32707</x:v>
      </x:c>
      <x:c r="B232" s="23" t="str">
        <x:v>MONTEC MOCOCA MONTAGENS INDUSTRIAIS LTDA</x:v>
      </x:c>
      <x:c r="C232" s="25" t="str">
        <x:f>"71702450000174"</x:f>
        <x:v>71702450000174</x:v>
      </x:c>
      <x:c r="D232" s="23" t="str">
        <x:v>MOCOCA</x:v>
      </x:c>
      <x:c r="E232" s="23" t="str">
        <x:v>fiscal@montecmococa.com.br</x:v>
      </x:c>
      <x:c r="F232" s="23" t="str">
        <x:v>1936566767</x:v>
      </x:c>
      <x:c r="G232" s="28" t="str">
        <x:v>Destinatário</x:v>
      </x:c>
      <x:c r="H232" s="29" t="n">
        <x:v>46154</x:v>
      </x:c>
      <x:c r="I232" s="29" t="n">
        <x:v>46154</x:v>
      </x:c>
      <x:c r="J232" s="30" t="str">
        <x:v>JOSE</x:v>
      </x:c>
      <x:c r="K232" s="30" t="str">
        <x:v>LOGISTICA</x:v>
      </x:c>
      <x:c r="L232" s="30" t="str">
        <x:v>fiscal@montecmococa.com.br</x:v>
      </x:c>
      <x:c r="M232" s="30" t="str">
        <x:v>1936566767</x:v>
      </x:c>
    </x:row>
    <x:row r="233">
      <x:c r="A233" s="27" t="n">
        <x:v>32710</x:v>
      </x:c>
      <x:c r="B233" s="23" t="str">
        <x:v>SANED ENGENHARIA E EMPREENDIMENTOS S.A</x:v>
      </x:c>
      <x:c r="C233" s="25" t="str">
        <x:f>"68976224000177"</x:f>
        <x:v>68976224000177</x:v>
      </x:c>
      <x:c r="D233" s="23" t="str">
        <x:v>SÃO PAULO</x:v>
      </x:c>
      <x:c r="E233" s="23" t="str">
        <x:v>FINANCEIRO@SANEDENGENHARIA.COM.BR</x:v>
      </x:c>
      <x:c r="F233" s="23" t="str">
        <x:v>1132663066</x:v>
      </x:c>
      <x:c r="G233" s="28" t="str">
        <x:v>Destinatário</x:v>
      </x:c>
      <x:c r="H233" s="29" t="n">
        <x:v>46155</x:v>
      </x:c>
      <x:c r="I233" s="29" t="n">
        <x:v>46155</x:v>
      </x:c>
      <x:c r="J233" s="30" t="str"/>
      <x:c r="K233" s="30" t="str"/>
      <x:c r="L233" s="30" t="str"/>
      <x:c r="M233" s="30" t="str"/>
    </x:row>
    <x:row r="234">
      <x:c r="A234" s="27" t="n">
        <x:v>32718</x:v>
      </x:c>
      <x:c r="B234" s="23" t="str">
        <x:v>ELETRICA E HIDRAULICA MAGALHAES LTDA</x:v>
      </x:c>
      <x:c r="C234" s="25" t="str">
        <x:f>"27280540000122"</x:f>
        <x:v>27280540000122</x:v>
      </x:c>
      <x:c r="D234" s="23" t="str">
        <x:v>AMÉRICO DE CAMPOS</x:v>
      </x:c>
      <x:c r="E234" s="23" t="str">
        <x:v>financeiro@conextec.com.br</x:v>
      </x:c>
      <x:c r="F234" s="23" t="str">
        <x:v>17991373983</x:v>
      </x:c>
      <x:c r="G234" s="28" t="str">
        <x:v>Destinatário</x:v>
      </x:c>
      <x:c r="H234" s="29" t="n">
        <x:v>46156</x:v>
      </x:c>
      <x:c r="I234" s="29" t="n">
        <x:v>46156</x:v>
      </x:c>
      <x:c r="J234" s="30" t="str">
        <x:v>JOAO</x:v>
      </x:c>
      <x:c r="K234" s="30" t="str">
        <x:v>COMPRAS</x:v>
      </x:c>
      <x:c r="L234" s="30" t="str">
        <x:v>financeiro@conextec.com.br</x:v>
      </x:c>
      <x:c r="M234" s="30" t="str">
        <x:v>17991373983</x:v>
      </x:c>
    </x:row>
    <x:row r="235">
      <x:c r="A235" s="27" t="n">
        <x:v>32719</x:v>
      </x:c>
      <x:c r="B235" s="23" t="str">
        <x:v>CCSH ADMINISTRACAO DE BENS INTANGIVEIS LTDA</x:v>
      </x:c>
      <x:c r="C235" s="25" t="str">
        <x:f>"17349601000298"</x:f>
        <x:v>17349601000298</x:v>
      </x:c>
      <x:c r="D235" s="23" t="str">
        <x:v>ITU</x:v>
      </x:c>
      <x:c r="E235" s="23" t="str">
        <x:v>CONTABILIDADE@CACAUSHOW.COM.BR</x:v>
      </x:c>
      <x:c r="F235" s="23" t="str">
        <x:v>11943716091</x:v>
      </x:c>
      <x:c r="G235" s="28" t="str">
        <x:v>Destinatário</x:v>
      </x:c>
      <x:c r="H235" s="29" t="n">
        <x:v>46156</x:v>
      </x:c>
      <x:c r="I235" s="29" t="n">
        <x:v>46156</x:v>
      </x:c>
      <x:c r="J235" s="30" t="str"/>
      <x:c r="K235" s="30" t="str"/>
      <x:c r="L235" s="30" t="str"/>
      <x:c r="M235" s="30" t="str"/>
    </x:row>
    <x:row r="236">
      <x:c r="A236" s="27" t="n">
        <x:v>32724</x:v>
      </x:c>
      <x:c r="B236" s="23" t="str">
        <x:v>GILSON APARECIDO BENFICA</x:v>
      </x:c>
      <x:c r="C236" s="25" t="str">
        <x:f>"29651838000127"</x:f>
        <x:v>29651838000127</x:v>
      </x:c>
      <x:c r="D236" s="23" t="str">
        <x:v>ITAPEVA</x:v>
      </x:c>
      <x:c r="E236" s="23" t="str">
        <x:v>ASSCES_CONTABILIDADE@YAHOO.COM.BR</x:v>
      </x:c>
      <x:c r="F236" s="23" t="str">
        <x:v>19997011816</x:v>
      </x:c>
      <x:c r="G236" s="28" t="str">
        <x:v>Destinatário</x:v>
      </x:c>
      <x:c r="H236" s="29" t="n">
        <x:v>46156</x:v>
      </x:c>
      <x:c r="I236" s="29" t="n">
        <x:v>46156</x:v>
      </x:c>
      <x:c r="J236" s="30" t="str"/>
      <x:c r="K236" s="30" t="str"/>
      <x:c r="L236" s="30" t="str"/>
      <x:c r="M236" s="30" t="str"/>
    </x:row>
    <x:row r="237">
      <x:c r="A237" s="27" t="n">
        <x:v>32727</x:v>
      </x:c>
      <x:c r="B237" s="23" t="str">
        <x:v>MARTINS REPRESENTACOES RIO CLARO LTDA</x:v>
      </x:c>
      <x:c r="C237" s="25" t="str">
        <x:f>"21102351000183"</x:f>
        <x:v>21102351000183</x:v>
      </x:c>
      <x:c r="D237" s="23" t="str">
        <x:v>RIO CLARO</x:v>
      </x:c>
      <x:c r="E237" s="23" t="str">
        <x:v>financeiro@conextec.com.br</x:v>
      </x:c>
      <x:c r="F237" s="23" t="str">
        <x:v>1732382208</x:v>
      </x:c>
      <x:c r="G237" s="28" t="str">
        <x:v>Destinatário</x:v>
      </x:c>
      <x:c r="H237" s="29" t="n">
        <x:v>46158</x:v>
      </x:c>
      <x:c r="I237" s="29" t="n">
        <x:v>46158</x:v>
      </x:c>
      <x:c r="J237" s="30" t="str">
        <x:v>QUEILA</x:v>
      </x:c>
      <x:c r="K237" s="30" t="str">
        <x:v>COMPRAS</x:v>
      </x:c>
      <x:c r="L237" s="30" t="str">
        <x:v>financeiro@conextec.com.br</x:v>
      </x:c>
      <x:c r="M237" s="30" t="str">
        <x:v>1732382208</x:v>
      </x:c>
    </x:row>
    <x:row r="238">
      <x:c r="A238" s="27" t="n">
        <x:v>32735</x:v>
      </x:c>
      <x:c r="B238" s="23" t="str">
        <x:v>DEXCO S.A</x:v>
      </x:c>
      <x:c r="C238" s="25" t="str">
        <x:f>"97837181005882"</x:f>
        <x:v>97837181005882</x:v>
      </x:c>
      <x:c r="D238" s="23" t="str">
        <x:v>BOTUCATU</x:v>
      </x:c>
      <x:c r="E238" s="23" t="str">
        <x:v>DEXCO@GMAIL.COM</x:v>
      </x:c>
      <x:c r="F238" s="23" t="str">
        <x:v>4899259155</x:v>
      </x:c>
      <x:c r="G238" s="28" t="str">
        <x:v>Destinatário</x:v>
      </x:c>
      <x:c r="H238" s="29" t="n">
        <x:v>46167</x:v>
      </x:c>
      <x:c r="I238" s="29" t="n">
        <x:v>46167</x:v>
      </x:c>
      <x:c r="J238" s="30" t="str"/>
      <x:c r="K238" s="30" t="str"/>
      <x:c r="L238" s="30" t="str"/>
      <x:c r="M238" s="30" t="str"/>
    </x:row>
    <x:row r="239">
      <x:c r="A239" s="27" t="n">
        <x:v>32737</x:v>
      </x:c>
      <x:c r="B239" s="23" t="str">
        <x:v>DIANE MORETH PAULO DA SILVA 22974943861</x:v>
      </x:c>
      <x:c r="C239" s="25" t="str">
        <x:f>"34361846000179"</x:f>
        <x:v>34361846000179</x:v>
      </x:c>
      <x:c r="D239" s="23" t="str">
        <x:v>LENÇÓIS PAULISTA</x:v>
      </x:c>
      <x:c r="E239" s="23" t="str">
        <x:v>DIANEMORETH@GMAIL.COM</x:v>
      </x:c>
      <x:c r="F239" s="23" t="str">
        <x:v>14998419200</x:v>
      </x:c>
      <x:c r="G239" s="28" t="str">
        <x:v>Destinatário</x:v>
      </x:c>
      <x:c r="H239" s="29" t="n">
        <x:v>46160</x:v>
      </x:c>
      <x:c r="I239" s="29" t="n">
        <x:v>46160</x:v>
      </x:c>
      <x:c r="J239" s="30" t="str"/>
      <x:c r="K239" s="30" t="str"/>
      <x:c r="L239" s="30" t="str"/>
      <x:c r="M239" s="30" t="str"/>
    </x:row>
    <x:row r="240">
      <x:c r="A240" s="27" t="n">
        <x:v>32739</x:v>
      </x:c>
      <x:c r="B240" s="23" t="str">
        <x:v>M. V. INDUSTRIA E COMERCIO DE TINTAS E REVESTIMENTOS LTDA</x:v>
      </x:c>
      <x:c r="C240" s="25" t="str">
        <x:f>"49718598000148"</x:f>
        <x:v>49718598000148</x:v>
      </x:c>
      <x:c r="D240" s="23" t="str">
        <x:v>JOSÉ BONIFÁCIO</x:v>
      </x:c>
      <x:c r="E240" s="23" t="str">
        <x:v>MVINDUSTRIA@GMAIL.COM</x:v>
      </x:c>
      <x:c r="F240" s="23" t="str">
        <x:v>1732455156</x:v>
      </x:c>
      <x:c r="G240" s="28" t="str">
        <x:v>Destinatário</x:v>
      </x:c>
      <x:c r="H240" s="29" t="n">
        <x:v>46160</x:v>
      </x:c>
      <x:c r="I240" s="29" t="n">
        <x:v>46160</x:v>
      </x:c>
      <x:c r="J240" s="30" t="str"/>
      <x:c r="K240" s="30" t="str"/>
      <x:c r="L240" s="30" t="str"/>
      <x:c r="M240" s="30" t="str"/>
    </x:row>
    <x:row r="241">
      <x:c r="A241" s="27" t="n">
        <x:v>32741</x:v>
      </x:c>
      <x:c r="B241" s="23" t="str">
        <x:v>E. POLITI &amp; CIA LTDA</x:v>
      </x:c>
      <x:c r="C241" s="25" t="str">
        <x:f>"61987749000169"</x:f>
        <x:v>61987749000169</x:v>
      </x:c>
      <x:c r="D241" s="23" t="str">
        <x:v>GUARIBA</x:v>
      </x:c>
      <x:c r="E241" s="23" t="str">
        <x:v>politiplastic@politiplastic.com.br</x:v>
      </x:c>
      <x:c r="F241" s="23" t="str"/>
      <x:c r="G241" s="28" t="str">
        <x:v>Destinatário</x:v>
      </x:c>
      <x:c r="H241" s="29" t="n">
        <x:v>46218</x:v>
      </x:c>
      <x:c r="I241" s="29" t="n">
        <x:v>46160</x:v>
      </x:c>
      <x:c r="J241" s="30" t="str">
        <x:v>POLITIPLASTIC@POLITIPLASTIC.COM.BR</x:v>
      </x:c>
      <x:c r="K241" s="30" t="str">
        <x:v>COMERCIAL</x:v>
      </x:c>
      <x:c r="L241" s="30" t="str">
        <x:v>politiplastic@politiplastic.com.br</x:v>
      </x:c>
      <x:c r="M241" s="30" t="str">
        <x:v>1632519750</x:v>
      </x:c>
    </x:row>
    <x:row r="242">
      <x:c r="A242" s="27" t="n">
        <x:v>32742</x:v>
      </x:c>
      <x:c r="B242" s="23" t="str">
        <x:v>MRV PRIME III INCORPORACOES LTDA</x:v>
      </x:c>
      <x:c r="C242" s="25" t="str">
        <x:f>"13425367000280"</x:f>
        <x:v>13425367000280</x:v>
      </x:c>
      <x:c r="D242" s="23" t="str">
        <x:v>CAMPINAS</x:v>
      </x:c>
      <x:c r="E242" s="23" t="str">
        <x:v>MRVPRIME@GMAIL.COM</x:v>
      </x:c>
      <x:c r="F242" s="23" t="str">
        <x:v>16993892007</x:v>
      </x:c>
      <x:c r="G242" s="28" t="str">
        <x:v>Destinatário</x:v>
      </x:c>
      <x:c r="H242" s="29" t="n">
        <x:v>46160</x:v>
      </x:c>
      <x:c r="I242" s="29" t="n">
        <x:v>46160</x:v>
      </x:c>
      <x:c r="J242" s="30" t="str"/>
      <x:c r="K242" s="30" t="str"/>
      <x:c r="L242" s="30" t="str"/>
      <x:c r="M242" s="30" t="str"/>
    </x:row>
    <x:row r="243">
      <x:c r="A243" s="27" t="n">
        <x:v>32743</x:v>
      </x:c>
      <x:c r="B243" s="23" t="str">
        <x:v>SPOT MORADA EMPREENDIMENTOS IMOBILIARIOS LTDA</x:v>
      </x:c>
      <x:c r="C243" s="25" t="str">
        <x:f>"34325695000101"</x:f>
        <x:v>34325695000101</x:v>
      </x:c>
      <x:c r="D243" s="23" t="str">
        <x:v>CAMPINAS</x:v>
      </x:c>
      <x:c r="E243" s="23" t="str">
        <x:v>SPOTMORADA@GMAIL.COM</x:v>
      </x:c>
      <x:c r="F243" s="23" t="str">
        <x:v>19971290734</x:v>
      </x:c>
      <x:c r="G243" s="28" t="str">
        <x:v>Destinatário</x:v>
      </x:c>
      <x:c r="H243" s="29" t="n">
        <x:v>46160</x:v>
      </x:c>
      <x:c r="I243" s="29" t="n">
        <x:v>46160</x:v>
      </x:c>
      <x:c r="J243" s="30" t="str"/>
      <x:c r="K243" s="30" t="str"/>
      <x:c r="L243" s="30" t="str"/>
      <x:c r="M243" s="30" t="str"/>
    </x:row>
    <x:row r="244">
      <x:c r="A244" s="27" t="n">
        <x:v>32745</x:v>
      </x:c>
      <x:c r="B244" s="23" t="str">
        <x:v>CASA DAS CORES DE PIRACICABA LTDA</x:v>
      </x:c>
      <x:c r="C244" s="25" t="str">
        <x:f>"00689049000101"</x:f>
        <x:v>00689049000101</x:v>
      </x:c>
      <x:c r="D244" s="23" t="str">
        <x:v>PIRACICABA</x:v>
      </x:c>
      <x:c r="E244" s="23" t="str">
        <x:v>FINANCEIRO@GRUPOCASADASCORES.COM.BR</x:v>
      </x:c>
      <x:c r="F244" s="23" t="str">
        <x:v>1934023121</x:v>
      </x:c>
      <x:c r="G244" s="28" t="str">
        <x:v>Destinatário</x:v>
      </x:c>
      <x:c r="H244" s="29" t="n">
        <x:v>46160</x:v>
      </x:c>
      <x:c r="I244" s="29" t="n">
        <x:v>46160</x:v>
      </x:c>
      <x:c r="J244" s="30" t="str"/>
      <x:c r="K244" s="30" t="str"/>
      <x:c r="L244" s="30" t="str"/>
      <x:c r="M244" s="30" t="str"/>
    </x:row>
    <x:row r="245">
      <x:c r="A245" s="27" t="n">
        <x:v>32748</x:v>
      </x:c>
      <x:c r="B245" s="23" t="str">
        <x:v>HONORATO E PATARO COMERCIO DE TINTAS LTDA</x:v>
      </x:c>
      <x:c r="C245" s="25" t="str">
        <x:f>"56691212000117"</x:f>
        <x:v>56691212000117</x:v>
      </x:c>
      <x:c r="D245" s="23" t="str">
        <x:v>AMERICANA</x:v>
      </x:c>
      <x:c r="E245" s="23" t="str">
        <x:v>FINANCEIRO.TINTASCASABELLA@GMAIL.COM</x:v>
      </x:c>
      <x:c r="F245" s="23" t="str">
        <x:v>19978218743</x:v>
      </x:c>
      <x:c r="G245" s="28" t="str">
        <x:v>Destinatário</x:v>
      </x:c>
      <x:c r="H245" s="29" t="n">
        <x:v>46160</x:v>
      </x:c>
      <x:c r="I245" s="29" t="n">
        <x:v>46160</x:v>
      </x:c>
      <x:c r="J245" s="30" t="str"/>
      <x:c r="K245" s="30" t="str"/>
      <x:c r="L245" s="30" t="str"/>
      <x:c r="M245" s="30" t="str"/>
    </x:row>
    <x:row r="246">
      <x:c r="A246" s="27" t="n">
        <x:v>32751</x:v>
      </x:c>
      <x:c r="B246" s="23" t="str">
        <x:v>GHISLOTTI COMERCIO DE MATERIAL CIRURGICO LTDA</x:v>
      </x:c>
      <x:c r="C246" s="25" t="str">
        <x:f>"39933722000134"</x:f>
        <x:v>39933722000134</x:v>
      </x:c>
      <x:c r="D246" s="23" t="str">
        <x:v>MOGI GUAÇU</x:v>
      </x:c>
      <x:c r="E246" s="23" t="str">
        <x:v>cirurgicamogi@gmail.com</x:v>
      </x:c>
      <x:c r="F246" s="23" t="str">
        <x:v>19999141986</x:v>
      </x:c>
      <x:c r="G246" s="28" t="str">
        <x:v>Destinatário</x:v>
      </x:c>
      <x:c r="H246" s="29" t="n">
        <x:v>46160</x:v>
      </x:c>
      <x:c r="I246" s="29" t="n">
        <x:v>46160</x:v>
      </x:c>
      <x:c r="J246" s="30" t="str">
        <x:v>RENAN BONALDO GHISLOTTI</x:v>
      </x:c>
      <x:c r="K246" s="30" t="str">
        <x:v>ADMINISTRATIVO - NEGOCIA FRETE</x:v>
      </x:c>
      <x:c r="L246" s="30" t="str">
        <x:v>cirurgicamogi@gmail.com</x:v>
      </x:c>
      <x:c r="M246" s="30" t="str">
        <x:v>19999141986</x:v>
      </x:c>
    </x:row>
    <x:row r="247">
      <x:c r="A247" s="27" t="n">
        <x:v>32752</x:v>
      </x:c>
      <x:c r="B247" s="23" t="str">
        <x:v>ANAJA COMERCIO DE MATERIAIS PARA CONSTRUCAO LTDA</x:v>
      </x:c>
      <x:c r="C247" s="25" t="str">
        <x:f>"48873492000156"</x:f>
        <x:v>48873492000156</x:v>
      </x:c>
      <x:c r="D247" s="23" t="str">
        <x:v>PRESIDENTE PRUDENTE</x:v>
      </x:c>
      <x:c r="E247" s="23" t="str">
        <x:v>FINANCEIROANAJATINTAS@GMAIL.COM</x:v>
      </x:c>
      <x:c r="F247" s="23" t="str">
        <x:v>1891459212</x:v>
      </x:c>
      <x:c r="G247" s="28" t="str">
        <x:v>Destinatário</x:v>
      </x:c>
      <x:c r="H247" s="29" t="n">
        <x:v>46161</x:v>
      </x:c>
      <x:c r="I247" s="29" t="n">
        <x:v>46161</x:v>
      </x:c>
      <x:c r="J247" s="30" t="str">
        <x:v>CARLOS</x:v>
      </x:c>
      <x:c r="K247" s="30" t="str">
        <x:v>COMERCIAL</x:v>
      </x:c>
      <x:c r="L247" s="30" t="str">
        <x:v>FINANCEIROANAJATINTAS@GMAIL.COM</x:v>
      </x:c>
      <x:c r="M247" s="30" t="str">
        <x:v>18991459212</x:v>
      </x:c>
    </x:row>
    <x:row r="248">
      <x:c r="A248" s="27" t="n">
        <x:v>32757</x:v>
      </x:c>
      <x:c r="B248" s="23" t="str">
        <x:v>FRIGORIFICO E COMERCIO BARUFRIGO LTDA</x:v>
      </x:c>
      <x:c r="C248" s="25" t="str">
        <x:f>"48060419000165"</x:f>
        <x:v>48060419000165</x:v>
      </x:c>
      <x:c r="D248" s="23" t="str">
        <x:v>BARUERI</x:v>
      </x:c>
      <x:c r="E248" s="23" t="str">
        <x:v>dec@assessoriacontabil.net</x:v>
      </x:c>
      <x:c r="F248" s="23" t="str">
        <x:v>1126185811</x:v>
      </x:c>
      <x:c r="G248" s="28" t="str">
        <x:v>Destinatário</x:v>
      </x:c>
      <x:c r="H248" s="29" t="n">
        <x:v>46165</x:v>
      </x:c>
      <x:c r="I248" s="29" t="n">
        <x:v>46161</x:v>
      </x:c>
      <x:c r="J248" s="30" t="str">
        <x:v>PROPRIETARIO</x:v>
      </x:c>
      <x:c r="K248" s="30" t="str">
        <x:v>COMERCIAL</x:v>
      </x:c>
      <x:c r="L248" s="30" t="str">
        <x:v>dec@assessoriacontabil.net</x:v>
      </x:c>
      <x:c r="M248" s="30" t="str">
        <x:v>1126185811</x:v>
      </x:c>
    </x:row>
    <x:row r="249">
      <x:c r="A249" s="27" t="n">
        <x:v>32759</x:v>
      </x:c>
      <x:c r="B249" s="23" t="str">
        <x:v>THERA COMERCIAL DE TINTAS E FERRAGENS LTDA</x:v>
      </x:c>
      <x:c r="C249" s="25" t="str">
        <x:f>"36927213000372"</x:f>
        <x:v>36927213000372</x:v>
      </x:c>
      <x:c r="D249" s="23" t="str">
        <x:v>CAMPINAS</x:v>
      </x:c>
      <x:c r="E249" s="23" t="str">
        <x:v>campinas3.adm@tintasmc.com.br</x:v>
      </x:c>
      <x:c r="F249" s="23" t="str">
        <x:v>19996506169</x:v>
      </x:c>
      <x:c r="G249" s="28" t="str">
        <x:v>Destinatário</x:v>
      </x:c>
      <x:c r="H249" s="29" t="n">
        <x:v>46161</x:v>
      </x:c>
      <x:c r="I249" s="29" t="n">
        <x:v>46161</x:v>
      </x:c>
      <x:c r="J249" s="30" t="str">
        <x:v>ODIMAR DA SILVA</x:v>
      </x:c>
      <x:c r="K249" s="30" t="str">
        <x:v>ADMINISTRATIVO - NEGOCIA FRETE</x:v>
      </x:c>
      <x:c r="L249" s="30" t="str">
        <x:v>campinas3.adm@tintasmc.com.br</x:v>
      </x:c>
      <x:c r="M249" s="30" t="str">
        <x:v>19996506169</x:v>
      </x:c>
    </x:row>
    <x:row r="250">
      <x:c r="A250" s="27" t="n">
        <x:v>32761</x:v>
      </x:c>
      <x:c r="B250" s="23" t="str">
        <x:v>SINTER FUTURA LTDA</x:v>
      </x:c>
      <x:c r="C250" s="25" t="str">
        <x:f>"74222563000160"</x:f>
        <x:v>74222563000160</x:v>
      </x:c>
      <x:c r="D250" s="23" t="str">
        <x:v>MONTE MOR</x:v>
      </x:c>
      <x:c r="E250" s="23" t="str">
        <x:v>marcio.borges@sinterfutura.com.br</x:v>
      </x:c>
      <x:c r="F250" s="23" t="str">
        <x:v>1939797800</x:v>
      </x:c>
      <x:c r="G250" s="28" t="str">
        <x:v>Destinatário</x:v>
      </x:c>
      <x:c r="H250" s="29" t="n">
        <x:v>46176</x:v>
      </x:c>
      <x:c r="I250" s="29" t="n">
        <x:v>46163</x:v>
      </x:c>
      <x:c r="J250" s="30" t="str">
        <x:v>CARLOS
MARCIO</x:v>
      </x:c>
      <x:c r="K250" s="30" t="str">
        <x:v>COMERCIAL
COMPRAS</x:v>
      </x:c>
      <x:c r="L250" s="30" t="str">
        <x:v>MARCO.CASTRO@SINTERFUTURA.COM.BR
marcio.borges@sinterfutura.com.br</x:v>
      </x:c>
      <x:c r="M250" s="30" t="str">
        <x:v>1939797800
1939797800</x:v>
      </x:c>
    </x:row>
    <x:row r="251">
      <x:c r="A251" s="27" t="n">
        <x:v>32763</x:v>
      </x:c>
      <x:c r="B251" s="23" t="str">
        <x:v>C B R MATERIAL DE CONSTRUCAO LTDA E P P</x:v>
      </x:c>
      <x:c r="C251" s="25" t="str">
        <x:f>"07288740000114"</x:f>
        <x:v>07288740000114</x:v>
      </x:c>
      <x:c r="D251" s="23" t="str">
        <x:v>SÃO JOÃO DA BOA VISTA</x:v>
      </x:c>
      <x:c r="E251" s="23" t="str">
        <x:v>administrativosp@tintaslux.com.br</x:v>
      </x:c>
      <x:c r="F251" s="23" t="str">
        <x:v>11968537683</x:v>
      </x:c>
      <x:c r="G251" s="28" t="str">
        <x:v>Destinatário</x:v>
      </x:c>
      <x:c r="H251" s="29" t="n">
        <x:v>46163</x:v>
      </x:c>
      <x:c r="I251" s="29" t="n">
        <x:v>46163</x:v>
      </x:c>
      <x:c r="J251" s="30" t="str">
        <x:v>MICHELE</x:v>
      </x:c>
      <x:c r="K251" s="30" t="str">
        <x:v>LOGISTICA</x:v>
      </x:c>
      <x:c r="L251" s="30" t="str">
        <x:v>administrativosp@tintaslux.com.br</x:v>
      </x:c>
      <x:c r="M251" s="30" t="str">
        <x:v>11968537683</x:v>
      </x:c>
    </x:row>
    <x:row r="252">
      <x:c r="A252" s="27" t="n">
        <x:v>32764</x:v>
      </x:c>
      <x:c r="B252" s="23" t="str">
        <x:v>LRG CONSTRUCOES E EMP JARDIM GENOVA JALES SPE LTDA</x:v>
      </x:c>
      <x:c r="C252" s="25" t="str">
        <x:f>"37909101000190"</x:f>
        <x:v>37909101000190</x:v>
      </x:c>
      <x:c r="D252" s="23" t="str">
        <x:v>GUARARAPES</x:v>
      </x:c>
      <x:c r="E252" s="23" t="str">
        <x:v>CONTABILIDADE@LRGCONSTRUTORA.COM.BR</x:v>
      </x:c>
      <x:c r="F252" s="23" t="str">
        <x:v>1640099499</x:v>
      </x:c>
      <x:c r="G252" s="28" t="str">
        <x:v>Destinatário</x:v>
      </x:c>
      <x:c r="H252" s="29" t="n">
        <x:v>46162</x:v>
      </x:c>
      <x:c r="I252" s="29" t="n">
        <x:v>46162</x:v>
      </x:c>
      <x:c r="J252" s="30" t="str">
        <x:v>CARLOS</x:v>
      </x:c>
      <x:c r="K252" s="30" t="str">
        <x:v>COMERCIAL</x:v>
      </x:c>
      <x:c r="L252" s="30" t="str">
        <x:v>CONTABILIDADE@LRGCONSTRUTORA.COM.BR</x:v>
      </x:c>
      <x:c r="M252" s="30" t="str">
        <x:v>1836061134</x:v>
      </x:c>
    </x:row>
    <x:row r="253">
      <x:c r="A253" s="27" t="n">
        <x:v>32767</x:v>
      </x:c>
      <x:c r="B253" s="23" t="str">
        <x:v>DAVID ALEXANDRE BURGER</x:v>
      </x:c>
      <x:c r="C253" s="25" t="str">
        <x:f>"41370853000100"</x:f>
        <x:v>41370853000100</x:v>
      </x:c>
      <x:c r="D253" s="23" t="str">
        <x:v>RIBEIRÃO PRETO</x:v>
      </x:c>
      <x:c r="E253" s="23" t="str">
        <x:v>DAVID.ALEXANDRE@GMAIL.COM</x:v>
      </x:c>
      <x:c r="F253" s="23" t="str">
        <x:v>16988162456</x:v>
      </x:c>
      <x:c r="G253" s="28" t="str">
        <x:v>Destinatário</x:v>
      </x:c>
      <x:c r="H253" s="29" t="n">
        <x:v>46162</x:v>
      </x:c>
      <x:c r="I253" s="29" t="n">
        <x:v>46162</x:v>
      </x:c>
      <x:c r="J253" s="30" t="str"/>
      <x:c r="K253" s="30" t="str"/>
      <x:c r="L253" s="30" t="str"/>
      <x:c r="M253" s="30" t="str"/>
    </x:row>
    <x:row r="254">
      <x:c r="A254" s="27" t="n">
        <x:v>32769</x:v>
      </x:c>
      <x:c r="B254" s="23" t="str">
        <x:v>PRUDENTE COMERCIO DE PRODUTOS AUDITIVOS E RESPIRATORIOS LTDA</x:v>
      </x:c>
      <x:c r="C254" s="25" t="str">
        <x:f>"52025306000104"</x:f>
        <x:v>52025306000104</x:v>
      </x:c>
      <x:c r="D254" s="23" t="str">
        <x:v>PRESIDENTE PRUDENTE</x:v>
      </x:c>
      <x:c r="E254" s="23" t="str"/>
      <x:c r="F254" s="23" t="str">
        <x:v>18932233812</x:v>
      </x:c>
      <x:c r="G254" s="28" t="str">
        <x:v>Destinatário</x:v>
      </x:c>
      <x:c r="H254" s="29" t="n">
        <x:v>46162</x:v>
      </x:c>
      <x:c r="I254" s="29" t="n">
        <x:v>46162</x:v>
      </x:c>
      <x:c r="J254" s="30" t="str">
        <x:v>DIOGO</x:v>
      </x:c>
      <x:c r="K254" s="30" t="str">
        <x:v>COMPRAS</x:v>
      </x:c>
      <x:c r="L254" s="30" t="str">
        <x:v>prudente@gmail.com</x:v>
      </x:c>
      <x:c r="M254" s="30" t="str">
        <x:v>01832233812</x:v>
      </x:c>
    </x:row>
    <x:row r="255">
      <x:c r="A255" s="27" t="n">
        <x:v>32771</x:v>
      </x:c>
      <x:c r="B255" s="23" t="str">
        <x:v>RESIDENCIAL SAO PEDRO II EMPREENDIMENTO IMOBILIARIO SPE LTDA</x:v>
      </x:c>
      <x:c r="C255" s="25" t="str">
        <x:f>"51276580000185"</x:f>
        <x:v>51276580000185</x:v>
      </x:c>
      <x:c r="D255" s="23" t="str">
        <x:v>BAURU</x:v>
      </x:c>
      <x:c r="E255" s="23" t="str">
        <x:v>NF.SERVICOS@ECOVITACONSTRUTORA.COM.BR</x:v>
      </x:c>
      <x:c r="F255" s="23" t="str">
        <x:v>1432048604</x:v>
      </x:c>
      <x:c r="G255" s="28" t="str">
        <x:v>Destinatário</x:v>
      </x:c>
      <x:c r="H255" s="29" t="n">
        <x:v>46162</x:v>
      </x:c>
      <x:c r="I255" s="29" t="n">
        <x:v>46162</x:v>
      </x:c>
      <x:c r="J255" s="30" t="str"/>
      <x:c r="K255" s="30" t="str"/>
      <x:c r="L255" s="30" t="str"/>
      <x:c r="M255" s="30" t="str"/>
    </x:row>
    <x:row r="256">
      <x:c r="A256" s="27" t="n">
        <x:v>32773</x:v>
      </x:c>
      <x:c r="B256" s="23" t="str">
        <x:v>COMERCIAL ELETRO PEREZ LTDA</x:v>
      </x:c>
      <x:c r="C256" s="25" t="str">
        <x:f>"48173330000105"</x:f>
        <x:v>48173330000105</x:v>
      </x:c>
      <x:c r="D256" s="23" t="str">
        <x:v>RIO CLARO</x:v>
      </x:c>
      <x:c r="E256" s="23" t="str">
        <x:v>ERC@ESCRITORIORIOCLARO.COM.BR</x:v>
      </x:c>
      <x:c r="F256" s="23" t="str">
        <x:v>1935369292</x:v>
      </x:c>
      <x:c r="G256" s="28" t="str">
        <x:v>Destinatário</x:v>
      </x:c>
      <x:c r="H256" s="29" t="n">
        <x:v>46162</x:v>
      </x:c>
      <x:c r="I256" s="29" t="n">
        <x:v>46162</x:v>
      </x:c>
      <x:c r="J256" s="30" t="str"/>
      <x:c r="K256" s="30" t="str"/>
      <x:c r="L256" s="30" t="str"/>
      <x:c r="M256" s="30" t="str"/>
    </x:row>
    <x:row r="257">
      <x:c r="A257" s="27" t="n">
        <x:v>32779</x:v>
      </x:c>
      <x:c r="B257" s="23" t="str">
        <x:v>DESENCAIXE DIGITAL SHOPP LTDA</x:v>
      </x:c>
      <x:c r="C257" s="25" t="str">
        <x:f>"56201993000114"</x:f>
        <x:v>56201993000114</x:v>
      </x:c>
      <x:c r="D257" s="23" t="str">
        <x:v>SOCORRO</x:v>
      </x:c>
      <x:c r="E257" s="23" t="str">
        <x:v>DESENCAIXEDIGITALSHOPP@GMAIL.COM</x:v>
      </x:c>
      <x:c r="F257" s="23" t="str">
        <x:v>1997219629</x:v>
      </x:c>
      <x:c r="G257" s="28" t="str">
        <x:v>Destinatário</x:v>
      </x:c>
      <x:c r="H257" s="29" t="n">
        <x:v>46163</x:v>
      </x:c>
      <x:c r="I257" s="29" t="n">
        <x:v>46163</x:v>
      </x:c>
      <x:c r="J257" s="30" t="str"/>
      <x:c r="K257" s="30" t="str"/>
      <x:c r="L257" s="30" t="str"/>
      <x:c r="M257" s="30" t="str"/>
    </x:row>
    <x:row r="258">
      <x:c r="A258" s="27" t="n">
        <x:v>32780</x:v>
      </x:c>
      <x:c r="B258" s="23" t="str">
        <x:v>J.A.T.T REFORMAS LTDA</x:v>
      </x:c>
      <x:c r="C258" s="25" t="str">
        <x:f>"61588278000116"</x:f>
        <x:v>61588278000116</x:v>
      </x:c>
      <x:c r="D258" s="23" t="str">
        <x:v>SÃO PAULO</x:v>
      </x:c>
      <x:c r="E258" s="23" t="str">
        <x:v>j.a.t.treformas@gmail.com</x:v>
      </x:c>
      <x:c r="F258" s="23" t="str">
        <x:v>11993708981</x:v>
      </x:c>
      <x:c r="G258" s="28" t="str">
        <x:v>Destinatário</x:v>
      </x:c>
      <x:c r="H258" s="29" t="n">
        <x:v>46224</x:v>
      </x:c>
      <x:c r="I258" s="29" t="n">
        <x:v>46163</x:v>
      </x:c>
      <x:c r="J258" s="30" t="str">
        <x:v>DANIELA</x:v>
      </x:c>
      <x:c r="K258" s="30" t="str">
        <x:v>COMPRAS</x:v>
      </x:c>
      <x:c r="L258" s="30" t="str">
        <x:v>FINANCEIRO@MAQUISERVICEMAQUINAS.COM.BR</x:v>
      </x:c>
      <x:c r="M258" s="30" t="str">
        <x:v>11937089816</x:v>
      </x:c>
    </x:row>
    <x:row r="259">
      <x:c r="A259" s="27" t="n">
        <x:v>32782</x:v>
      </x:c>
      <x:c r="B259" s="23" t="str">
        <x:v>KARVAS GRM MOOD BOA VISTA-I INCORPORADORA SPE LTDA</x:v>
      </x:c>
      <x:c r="C259" s="25" t="str">
        <x:f>"40109238000174"</x:f>
        <x:v>40109238000174</x:v>
      </x:c>
      <x:c r="D259" s="23" t="str">
        <x:v>SÃO PAULO</x:v>
      </x:c>
      <x:c r="E259" s="23" t="str">
        <x:v>HENRIQUE@RVE.COM.BR</x:v>
      </x:c>
      <x:c r="F259" s="23" t="str">
        <x:v>1141845141</x:v>
      </x:c>
      <x:c r="G259" s="28" t="str">
        <x:v>Destinatário</x:v>
      </x:c>
      <x:c r="H259" s="29" t="n">
        <x:v>46163</x:v>
      </x:c>
      <x:c r="I259" s="29" t="n">
        <x:v>46163</x:v>
      </x:c>
      <x:c r="J259" s="30" t="str">
        <x:v>CARLOS</x:v>
      </x:c>
      <x:c r="K259" s="30" t="str">
        <x:v>COMERCIAL</x:v>
      </x:c>
      <x:c r="L259" s="30" t="str">
        <x:v>HENRIQUE@RVE.COM.BR</x:v>
      </x:c>
      <x:c r="M259" s="30" t="str">
        <x:v>1141845141</x:v>
      </x:c>
    </x:row>
    <x:row r="260">
      <x:c r="A260" s="27" t="n">
        <x:v>32783</x:v>
      </x:c>
      <x:c r="B260" s="23" t="str">
        <x:v>T J ALVES MATERIAIS DE CONSTRUCAO EM GERAL</x:v>
      </x:c>
      <x:c r="C260" s="25" t="str">
        <x:f>"41923310000165"</x:f>
        <x:v>41923310000165</x:v>
      </x:c>
      <x:c r="D260" s="23" t="str">
        <x:v>MARÍLIA</x:v>
      </x:c>
      <x:c r="E260" s="23" t="str">
        <x:v>CONSTRUALVESS01@GMAIL.COM</x:v>
      </x:c>
      <x:c r="F260" s="23" t="str">
        <x:v>14996651573</x:v>
      </x:c>
      <x:c r="G260" s="28" t="str">
        <x:v>Destinatário</x:v>
      </x:c>
      <x:c r="H260" s="29" t="n">
        <x:v>46163</x:v>
      </x:c>
      <x:c r="I260" s="29" t="n">
        <x:v>46163</x:v>
      </x:c>
      <x:c r="J260" s="30" t="str"/>
      <x:c r="K260" s="30" t="str"/>
      <x:c r="L260" s="30" t="str"/>
      <x:c r="M260" s="30" t="str"/>
    </x:row>
    <x:row r="261">
      <x:c r="A261" s="27" t="n">
        <x:v>32784</x:v>
      </x:c>
      <x:c r="B261" s="23" t="str">
        <x:v>61.893.562 EWERTON BALBINO DE BARROS</x:v>
      </x:c>
      <x:c r="C261" s="25" t="str">
        <x:f>"61893562000104"</x:f>
        <x:v>61893562000104</x:v>
      </x:c>
      <x:c r="D261" s="23" t="str">
        <x:v>IBIÚNA</x:v>
      </x:c>
      <x:c r="E261" s="23" t="str">
        <x:v>ewertonbalbinodebarros@gmail.com</x:v>
      </x:c>
      <x:c r="F261" s="23" t="str">
        <x:v>1597514761</x:v>
      </x:c>
      <x:c r="G261" s="28" t="str">
        <x:v>Destinatário</x:v>
      </x:c>
      <x:c r="H261" s="29" t="n">
        <x:v>46163</x:v>
      </x:c>
      <x:c r="I261" s="29" t="n">
        <x:v>46163</x:v>
      </x:c>
      <x:c r="J261" s="30" t="str">
        <x:v>EWERTON BALBINO</x:v>
      </x:c>
      <x:c r="K261" s="30" t="str">
        <x:v>ADMINISTRATIVO - NEGOCIA FRETE</x:v>
      </x:c>
      <x:c r="L261" s="30" t="str">
        <x:v>ewertonbalbinodebarros@gmail.com</x:v>
      </x:c>
      <x:c r="M261" s="30" t="str">
        <x:v>15997514761</x:v>
      </x:c>
    </x:row>
    <x:row r="262">
      <x:c r="A262" s="27" t="n">
        <x:v>32785</x:v>
      </x:c>
      <x:c r="B262" s="23" t="str">
        <x:v>62.561.107 THIAGO MODESTO LEME DE SOUZA</x:v>
      </x:c>
      <x:c r="C262" s="25" t="str">
        <x:f>"62561107000166"</x:f>
        <x:v>62561107000166</x:v>
      </x:c>
      <x:c r="D262" s="23" t="str">
        <x:v>CAMPINAS</x:v>
      </x:c>
      <x:c r="E262" s="23" t="str">
        <x:v>experttintas1@gmail.com</x:v>
      </x:c>
      <x:c r="F262" s="23" t="str">
        <x:v>1933688758</x:v>
      </x:c>
      <x:c r="G262" s="28" t="str">
        <x:v>Destinatário</x:v>
      </x:c>
      <x:c r="H262" s="29" t="n">
        <x:v>46163</x:v>
      </x:c>
      <x:c r="I262" s="29" t="n">
        <x:v>46163</x:v>
      </x:c>
      <x:c r="J262" s="30" t="str">
        <x:v>THIAGO MODESTO</x:v>
      </x:c>
      <x:c r="K262" s="30" t="str">
        <x:v>ADMINISTRATIVO - NEGOCIA FRETE</x:v>
      </x:c>
      <x:c r="L262" s="30" t="str">
        <x:v>experttintas1@gmail.com</x:v>
      </x:c>
      <x:c r="M262" s="30" t="str">
        <x:v>1933688758</x:v>
      </x:c>
    </x:row>
    <x:row r="263">
      <x:c r="A263" s="27" t="n">
        <x:v>32786</x:v>
      </x:c>
      <x:c r="B263" s="23" t="str">
        <x:v>NILVA DA SILVA - FRANCA</x:v>
      </x:c>
      <x:c r="C263" s="25" t="str">
        <x:f>"05245864000197"</x:f>
        <x:v>05245864000197</x:v>
      </x:c>
      <x:c r="D263" s="23" t="str">
        <x:v>FRANCA</x:v>
      </x:c>
      <x:c r="E263" s="23" t="str">
        <x:v>CNJC@BOL.COM.BR</x:v>
      </x:c>
      <x:c r="F263" s="23" t="str">
        <x:v>1637217638</x:v>
      </x:c>
      <x:c r="G263" s="28" t="str">
        <x:v>Destinatário</x:v>
      </x:c>
      <x:c r="H263" s="29" t="n">
        <x:v>46164</x:v>
      </x:c>
      <x:c r="I263" s="29" t="n">
        <x:v>46164</x:v>
      </x:c>
      <x:c r="J263" s="30" t="str"/>
      <x:c r="K263" s="30" t="str"/>
      <x:c r="L263" s="30" t="str"/>
      <x:c r="M263" s="30" t="str"/>
    </x:row>
    <x:row r="264">
      <x:c r="A264" s="27" t="n">
        <x:v>32787</x:v>
      </x:c>
      <x:c r="B264" s="23" t="str">
        <x:v>MAIS BELLO TINTAS LIMITADA</x:v>
      </x:c>
      <x:c r="C264" s="25" t="str">
        <x:f>"61788502000113"</x:f>
        <x:v>61788502000113</x:v>
      </x:c>
      <x:c r="D264" s="23" t="str">
        <x:v>CAMPINAS</x:v>
      </x:c>
      <x:c r="E264" s="23" t="str">
        <x:v>MAISBELLOTINTAS@GMAIL.COM</x:v>
      </x:c>
      <x:c r="F264" s="23" t="str">
        <x:v>11974992576</x:v>
      </x:c>
      <x:c r="G264" s="28" t="str">
        <x:v>Destinatário</x:v>
      </x:c>
      <x:c r="H264" s="29" t="n">
        <x:v>46164</x:v>
      </x:c>
      <x:c r="I264" s="29" t="n">
        <x:v>46164</x:v>
      </x:c>
      <x:c r="J264" s="30" t="str"/>
      <x:c r="K264" s="30" t="str"/>
      <x:c r="L264" s="30" t="str"/>
      <x:c r="M264" s="30" t="str"/>
    </x:row>
    <x:row r="265">
      <x:c r="A265" s="27" t="n">
        <x:v>32789</x:v>
      </x:c>
      <x:c r="B265" s="23" t="str">
        <x:v>ZERO 18 NAUTICA LTDA</x:v>
      </x:c>
      <x:c r="C265" s="25" t="str">
        <x:f>"43966999000130"</x:f>
        <x:v>43966999000130</x:v>
      </x:c>
      <x:c r="D265" s="23" t="str">
        <x:v>PRESIDENTE PRUDENTE</x:v>
      </x:c>
      <x:c r="E265" s="23" t="str">
        <x:v>ZERO18NAUTICA@GMAIL.COM</x:v>
      </x:c>
      <x:c r="F265" s="23" t="str">
        <x:v>18996742487</x:v>
      </x:c>
      <x:c r="G265" s="28" t="str">
        <x:v>Destinatário</x:v>
      </x:c>
      <x:c r="H265" s="29" t="n">
        <x:v>46164</x:v>
      </x:c>
      <x:c r="I265" s="29" t="n">
        <x:v>46164</x:v>
      </x:c>
      <x:c r="J265" s="30" t="str"/>
      <x:c r="K265" s="30" t="str"/>
      <x:c r="L265" s="30" t="str"/>
      <x:c r="M265" s="30" t="str"/>
    </x:row>
    <x:row r="266">
      <x:c r="A266" s="27" t="n">
        <x:v>32793</x:v>
      </x:c>
      <x:c r="B266" s="23" t="str">
        <x:v>FORZA DETAIL DISTRIBUIDORA DE PRODUTOS AUTOMOTIVOS LTDA</x:v>
      </x:c>
      <x:c r="C266" s="25" t="str">
        <x:f>"00022179000188"</x:f>
        <x:v>00022179000188</x:v>
      </x:c>
      <x:c r="D266" s="23" t="str">
        <x:v>RIBEIRÃO PRETO</x:v>
      </x:c>
      <x:c r="E266" s="23" t="str">
        <x:v>FORZADETAIL@GMAIL.COM</x:v>
      </x:c>
      <x:c r="F266" s="23" t="str">
        <x:v>1639791922</x:v>
      </x:c>
      <x:c r="G266" s="28" t="str">
        <x:v>Destinatário</x:v>
      </x:c>
      <x:c r="H266" s="29" t="n">
        <x:v>46167</x:v>
      </x:c>
      <x:c r="I266" s="29" t="n">
        <x:v>46167</x:v>
      </x:c>
      <x:c r="J266" s="30" t="str"/>
      <x:c r="K266" s="30" t="str"/>
      <x:c r="L266" s="30" t="str"/>
      <x:c r="M266" s="30" t="str"/>
    </x:row>
    <x:row r="267">
      <x:c r="A267" s="27" t="n">
        <x:v>32795</x:v>
      </x:c>
      <x:c r="B267" s="23" t="str">
        <x:v>POLARIS CONSTRUCAO E SERVICOS LTDA</x:v>
      </x:c>
      <x:c r="C267" s="25" t="str">
        <x:f>"50002257000150"</x:f>
        <x:v>50002257000150</x:v>
      </x:c>
      <x:c r="D267" s="23" t="str">
        <x:v>PAULÍNIA</x:v>
      </x:c>
      <x:c r="E267" s="23" t="str"/>
      <x:c r="F267" s="23" t="str">
        <x:v>11988738002</x:v>
      </x:c>
      <x:c r="G267" s="28" t="str">
        <x:v>Destinatário</x:v>
      </x:c>
      <x:c r="H267" s="29" t="n">
        <x:v>46167</x:v>
      </x:c>
      <x:c r="I267" s="29" t="n">
        <x:v>46167</x:v>
      </x:c>
      <x:c r="J267" s="30" t="str">
        <x:v>ARRISON</x:v>
      </x:c>
      <x:c r="K267" s="30" t="str">
        <x:v>COMERCIAL</x:v>
      </x:c>
      <x:c r="L267" s="30" t="str">
        <x:v>polaris@gmail.com</x:v>
      </x:c>
      <x:c r="M267" s="30" t="str">
        <x:v>11988738002</x:v>
      </x:c>
    </x:row>
    <x:row r="268">
      <x:c r="A268" s="27" t="n">
        <x:v>32797</x:v>
      </x:c>
      <x:c r="B268" s="23" t="str">
        <x:v>AZUL TINTAS MATERIAIS ELETRICOS ILUMINACAO E TINTAS LTDA</x:v>
      </x:c>
      <x:c r="C268" s="25" t="str">
        <x:f>"18420785000389"</x:f>
        <x:v>18420785000389</x:v>
      </x:c>
      <x:c r="D268" s="23" t="str">
        <x:v>OLÍMPIA</x:v>
      </x:c>
      <x:c r="E268" s="23" t="str">
        <x:v>compras@azultintas.com.br</x:v>
      </x:c>
      <x:c r="F268" s="23" t="str"/>
      <x:c r="G268" s="28" t="str">
        <x:v>Destinatário</x:v>
      </x:c>
      <x:c r="H268" s="29" t="n">
        <x:v>46167</x:v>
      </x:c>
      <x:c r="I268" s="29" t="n">
        <x:v>46167</x:v>
      </x:c>
      <x:c r="J268" s="30" t="str">
        <x:v>ARRISON</x:v>
      </x:c>
      <x:c r="K268" s="30" t="str">
        <x:v>COMPRAS</x:v>
      </x:c>
      <x:c r="L268" s="30" t="str">
        <x:v>compras@azultintas.com.br</x:v>
      </x:c>
      <x:c r="M268" s="30" t="str">
        <x:v>17991681703</x:v>
      </x:c>
    </x:row>
    <x:row r="269">
      <x:c r="A269" s="27" t="n">
        <x:v>32802</x:v>
      </x:c>
      <x:c r="B269" s="23" t="str">
        <x:v>HIPER FORTE INDUSTRIA DE TUBOS E CONEXOES LTDA</x:v>
      </x:c>
      <x:c r="C269" s="25" t="str">
        <x:f>"20419046000157"</x:f>
        <x:v>20419046000157</x:v>
      </x:c>
      <x:c r="D269" s="23" t="str">
        <x:v>NOVA ALIANÇA</x:v>
      </x:c>
      <x:c r="E269" s="23" t="str">
        <x:v>DIEGO@REGENTENET.COM.BR</x:v>
      </x:c>
      <x:c r="F269" s="23" t="str">
        <x:v>1732384429</x:v>
      </x:c>
      <x:c r="G269" s="28" t="str">
        <x:v>Destinatário</x:v>
      </x:c>
      <x:c r="H269" s="29" t="n">
        <x:v>46168</x:v>
      </x:c>
      <x:c r="I269" s="29" t="n">
        <x:v>46168</x:v>
      </x:c>
      <x:c r="J269" s="30" t="str">
        <x:v>CARLOS</x:v>
      </x:c>
      <x:c r="K269" s="30" t="str">
        <x:v>COMERCIAL</x:v>
      </x:c>
      <x:c r="L269" s="30" t="str">
        <x:v>DIEGO@REGENTENET.COM.BR</x:v>
      </x:c>
      <x:c r="M269" s="30" t="str">
        <x:v>1732362443</x:v>
      </x:c>
    </x:row>
    <x:row r="270">
      <x:c r="A270" s="27" t="n">
        <x:v>32813</x:v>
      </x:c>
      <x:c r="B270" s="23" t="str">
        <x:v>TOPLIFE TAQUARAL INCORPORADORA IMOBILIARIA SPE LTDA</x:v>
      </x:c>
      <x:c r="C270" s="25" t="str">
        <x:f>"42089850000158"</x:f>
        <x:v>42089850000158</x:v>
      </x:c>
      <x:c r="D270" s="23" t="str">
        <x:v>RIBEIRÃO PRETO</x:v>
      </x:c>
      <x:c r="E270" s="23" t="str">
        <x:v>nfe@stefaninogueira.com</x:v>
      </x:c>
      <x:c r="F270" s="23" t="str">
        <x:v>16992140700</x:v>
      </x:c>
      <x:c r="G270" s="28" t="str">
        <x:v>Destinatário</x:v>
      </x:c>
      <x:c r="H270" s="29" t="n">
        <x:v>46198</x:v>
      </x:c>
      <x:c r="I270" s="29" t="n">
        <x:v>46169</x:v>
      </x:c>
      <x:c r="J270" s="30" t="str">
        <x:v>COMERCIAL</x:v>
      </x:c>
      <x:c r="K270" s="30" t="str">
        <x:v>COMERCIAL</x:v>
      </x:c>
      <x:c r="L270" s="30" t="str">
        <x:v>nfe@stefaninogueira.com</x:v>
      </x:c>
      <x:c r="M270" s="30" t="str">
        <x:v>16992140700</x:v>
      </x:c>
    </x:row>
    <x:row r="271">
      <x:c r="A271" s="27" t="n">
        <x:v>32820</x:v>
      </x:c>
      <x:c r="B271" s="23" t="str">
        <x:v>TERMO TEK IND E COMERCIO IMPORTACAO E EXPORTACAO LTDA</x:v>
      </x:c>
      <x:c r="C271" s="25" t="str">
        <x:f>"60478864000145"</x:f>
        <x:v>60478864000145</x:v>
      </x:c>
      <x:c r="D271" s="23" t="str">
        <x:v>ARAÇARIGUAMA</x:v>
      </x:c>
      <x:c r="E271" s="23" t="str">
        <x:v>vendas@termotek.com.br</x:v>
      </x:c>
      <x:c r="F271" s="23" t="str">
        <x:v>1141362137</x:v>
      </x:c>
      <x:c r="G271" s="28" t="str">
        <x:v>Destinatário</x:v>
      </x:c>
      <x:c r="H271" s="29" t="n">
        <x:v>46174</x:v>
      </x:c>
      <x:c r="I271" s="29" t="n">
        <x:v>46214</x:v>
      </x:c>
      <x:c r="J271" s="30" t="str">
        <x:v>HERBERT</x:v>
      </x:c>
      <x:c r="K271" s="30" t="str">
        <x:v>COMERCIAL</x:v>
      </x:c>
      <x:c r="L271" s="30" t="str">
        <x:v>vendas@termotek.com.br</x:v>
      </x:c>
      <x:c r="M271" s="30" t="str">
        <x:v>11975493270</x:v>
      </x:c>
    </x:row>
    <x:row r="272">
      <x:c r="A272" s="27" t="n">
        <x:v>32822</x:v>
      </x:c>
      <x:c r="B272" s="23" t="str">
        <x:v>KAIROS COMERCIO DE TINTAS LTDA</x:v>
      </x:c>
      <x:c r="C272" s="25" t="str">
        <x:f>"22639357000408"</x:f>
        <x:v>22639357000408</x:v>
      </x:c>
      <x:c r="D272" s="23" t="str">
        <x:v>SANTA BÁRBARA D'OESTE</x:v>
      </x:c>
      <x:c r="E272" s="23" t="str">
        <x:v>LISTA-SOCIETARIO@VISUALASSESSORIA.COM.BR</x:v>
      </x:c>
      <x:c r="F272" s="23" t="str">
        <x:v>19991179291</x:v>
      </x:c>
      <x:c r="G272" s="28" t="str">
        <x:v>Destinatário</x:v>
      </x:c>
      <x:c r="H272" s="29" t="n">
        <x:v>46170</x:v>
      </x:c>
      <x:c r="I272" s="29" t="n">
        <x:v>46170</x:v>
      </x:c>
      <x:c r="J272" s="30" t="str"/>
      <x:c r="K272" s="30" t="str"/>
      <x:c r="L272" s="30" t="str"/>
      <x:c r="M272" s="30" t="str"/>
    </x:row>
    <x:row r="273">
      <x:c r="A273" s="27" t="n">
        <x:v>32829</x:v>
      </x:c>
      <x:c r="B273" s="23" t="str">
        <x:v>ALEX SOUZA SOLUCOES E PINTURAS LTDA</x:v>
      </x:c>
      <x:c r="C273" s="25" t="str">
        <x:f>"13972960000165"</x:f>
        <x:v>13972960000165</x:v>
      </x:c>
      <x:c r="D273" s="23" t="str">
        <x:v>TAQUARITINGA</x:v>
      </x:c>
      <x:c r="E273" s="23" t="str">
        <x:v>ALEXSOUZA_PINTURAS@HOTMAIL.COM</x:v>
      </x:c>
      <x:c r="F273" s="23" t="str">
        <x:v>1699968326</x:v>
      </x:c>
      <x:c r="G273" s="28" t="str">
        <x:v>Destinatário</x:v>
      </x:c>
      <x:c r="H273" s="29" t="n">
        <x:v>46170</x:v>
      </x:c>
      <x:c r="I273" s="29" t="n">
        <x:v>46170</x:v>
      </x:c>
      <x:c r="J273" s="30" t="str"/>
      <x:c r="K273" s="30" t="str"/>
      <x:c r="L273" s="30" t="str"/>
      <x:c r="M273" s="30" t="str"/>
    </x:row>
    <x:row r="274">
      <x:c r="A274" s="27" t="n">
        <x:v>32831</x:v>
      </x:c>
      <x:c r="B274" s="23" t="str">
        <x:v>IBICOLOR-COMERCIO DE TINTAS LTDA</x:v>
      </x:c>
      <x:c r="C274" s="25" t="str">
        <x:f>"59628537000143"</x:f>
        <x:v>59628537000143</x:v>
      </x:c>
      <x:c r="D274" s="23" t="str">
        <x:v>IBIÚNA</x:v>
      </x:c>
      <x:c r="E274" s="23" t="str">
        <x:v>clo.moraes@hotmail.com</x:v>
      </x:c>
      <x:c r="F274" s="23" t="str">
        <x:v>1532412211</x:v>
      </x:c>
      <x:c r="G274" s="28" t="str">
        <x:v>Destinatário</x:v>
      </x:c>
      <x:c r="H274" s="29" t="n">
        <x:v>46170</x:v>
      </x:c>
      <x:c r="I274" s="29" t="n">
        <x:v>46170</x:v>
      </x:c>
      <x:c r="J274" s="30" t="str">
        <x:v>CLOTILDE MORIANO</x:v>
      </x:c>
      <x:c r="K274" s="30" t="str">
        <x:v>ADMINISTRATIVO - NEGOCIA FRETE</x:v>
      </x:c>
      <x:c r="L274" s="30" t="str">
        <x:v>clo.moraes@hotmail.com</x:v>
      </x:c>
      <x:c r="M274" s="30" t="str">
        <x:v>1532412211</x:v>
      </x:c>
    </x:row>
    <x:row r="275">
      <x:c r="A275" s="27" t="n">
        <x:v>32832</x:v>
      </x:c>
      <x:c r="B275" s="23" t="str">
        <x:v>33.366.564 ADRIANO LIMA DA SILVA</x:v>
      </x:c>
      <x:c r="C275" s="25" t="str">
        <x:f>"33366564000100"</x:f>
        <x:v>33366564000100</x:v>
      </x:c>
      <x:c r="D275" s="23" t="str">
        <x:v>BAURU</x:v>
      </x:c>
      <x:c r="E275" s="23" t="str">
        <x:v>FABIOLAREGINAMARIANO@HOTMAIL.COM</x:v>
      </x:c>
      <x:c r="F275" s="23" t="str">
        <x:v>11965728450</x:v>
      </x:c>
      <x:c r="G275" s="28" t="str">
        <x:v>Destinatário</x:v>
      </x:c>
      <x:c r="H275" s="29" t="n">
        <x:v>46170</x:v>
      </x:c>
      <x:c r="I275" s="29" t="n">
        <x:v>46170</x:v>
      </x:c>
      <x:c r="J275" s="30" t="str"/>
      <x:c r="K275" s="30" t="str"/>
      <x:c r="L275" s="30" t="str"/>
      <x:c r="M275" s="30" t="str"/>
    </x:row>
    <x:row r="276">
      <x:c r="A276" s="27" t="n">
        <x:v>32833</x:v>
      </x:c>
      <x:c r="B276" s="23" t="str">
        <x:v>GLL TINTAS BAURU LTDA</x:v>
      </x:c>
      <x:c r="C276" s="25" t="str">
        <x:f>"59958255000104"</x:f>
        <x:v>59958255000104</x:v>
      </x:c>
      <x:c r="D276" s="23" t="str">
        <x:v>BAURU</x:v>
      </x:c>
      <x:c r="E276" s="23" t="str">
        <x:v>impactotintasbauru03@gmail.com</x:v>
      </x:c>
      <x:c r="F276" s="23" t="str">
        <x:v>14999046421</x:v>
      </x:c>
      <x:c r="G276" s="28" t="str">
        <x:v>Destinatário</x:v>
      </x:c>
      <x:c r="H276" s="29" t="n">
        <x:v>46176</x:v>
      </x:c>
      <x:c r="I276" s="29" t="n">
        <x:v>46170</x:v>
      </x:c>
      <x:c r="J276" s="30" t="str">
        <x:v>GABRIEL DELFINO</x:v>
      </x:c>
      <x:c r="K276" s="30" t="str">
        <x:v>ADMINISTRATIVO - NEGOCIA FRETE</x:v>
      </x:c>
      <x:c r="L276" s="30" t="str">
        <x:v>impactotintasbauru03@gmail.com</x:v>
      </x:c>
      <x:c r="M276" s="30" t="str">
        <x:v>14999046421</x:v>
      </x:c>
    </x:row>
    <x:row r="277">
      <x:c r="A277" s="27" t="n">
        <x:v>32834</x:v>
      </x:c>
      <x:c r="B277" s="23" t="str">
        <x:v>WENDSON PEREIRA DA SILVA</x:v>
      </x:c>
      <x:c r="C277" s="25" t="str">
        <x:f>"35876062000146"</x:f>
        <x:v>35876062000146</x:v>
      </x:c>
      <x:c r="D277" s="23" t="str">
        <x:v>NOVO HORIZONTE</x:v>
      </x:c>
      <x:c r="E277" s="23" t="str">
        <x:v>naoencontrado@naoencontrado.com</x:v>
      </x:c>
      <x:c r="F277" s="23" t="str">
        <x:v>17997599331</x:v>
      </x:c>
      <x:c r="G277" s="28" t="str">
        <x:v>Destinatário</x:v>
      </x:c>
      <x:c r="H277" s="29" t="n">
        <x:v>46170</x:v>
      </x:c>
      <x:c r="I277" s="29" t="n">
        <x:v>46170</x:v>
      </x:c>
      <x:c r="J277" s="30" t="str">
        <x:v>WENDSON</x:v>
      </x:c>
      <x:c r="K277" s="30" t="str">
        <x:v>ADMINISTRATIVO - NEGOCIA FRETE</x:v>
      </x:c>
      <x:c r="L277" s="30" t="str">
        <x:v>naoencontrado@naoencontrado.com</x:v>
      </x:c>
      <x:c r="M277" s="30" t="str">
        <x:v>17997599331</x:v>
      </x:c>
    </x:row>
    <x:row r="278">
      <x:c r="A278" s="27" t="n">
        <x:v>32835</x:v>
      </x:c>
      <x:c r="B278" s="23" t="str">
        <x:v>CCT EFEITOS DECORATIVOS LTDA</x:v>
      </x:c>
      <x:c r="C278" s="25" t="str">
        <x:f>"47721304000101"</x:f>
        <x:v>47721304000101</x:v>
      </x:c>
      <x:c r="D278" s="23" t="str">
        <x:v>ITATIBA</x:v>
      </x:c>
      <x:c r="E278" s="23" t="str">
        <x:v>DECORCOLORS.ITATIBA@GMAIL.COM</x:v>
      </x:c>
      <x:c r="F278" s="23" t="str">
        <x:v>1150398275</x:v>
      </x:c>
      <x:c r="G278" s="28" t="str">
        <x:v>Destinatário</x:v>
      </x:c>
      <x:c r="H278" s="29" t="n">
        <x:v>46171</x:v>
      </x:c>
      <x:c r="I278" s="29" t="n">
        <x:v>46171</x:v>
      </x:c>
      <x:c r="J278" s="30" t="str"/>
      <x:c r="K278" s="30" t="str"/>
      <x:c r="L278" s="30" t="str"/>
      <x:c r="M278" s="30" t="str"/>
    </x:row>
    <x:row r="279">
      <x:c r="A279" s="27" t="n">
        <x:v>32836</x:v>
      </x:c>
      <x:c r="B279" s="23" t="str">
        <x:v>MANFRIN , CASSEB &amp; CIA LTDA</x:v>
      </x:c>
      <x:c r="C279" s="25" t="str">
        <x:f>"72739543000489"</x:f>
        <x:v>72739543000489</x:v>
      </x:c>
      <x:c r="D279" s="23" t="str">
        <x:v>BAURU</x:v>
      </x:c>
      <x:c r="E279" s="23" t="str">
        <x:v>MAFRINCASSEB@GMAIL.COM</x:v>
      </x:c>
      <x:c r="F279" s="23" t="str">
        <x:v>1431021140</x:v>
      </x:c>
      <x:c r="G279" s="28" t="str">
        <x:v>Destinatário</x:v>
      </x:c>
      <x:c r="H279" s="29" t="n">
        <x:v>46171</x:v>
      </x:c>
      <x:c r="I279" s="29" t="n">
        <x:v>46171</x:v>
      </x:c>
      <x:c r="J279" s="30" t="str"/>
      <x:c r="K279" s="30" t="str"/>
      <x:c r="L279" s="30" t="str"/>
      <x:c r="M279" s="30" t="str"/>
    </x:row>
    <x:row r="280">
      <x:c r="A280" s="27" t="n">
        <x:v>32839</x:v>
      </x:c>
      <x:c r="B280" s="23" t="str">
        <x:v>DIRCE G. RODRIGUES LTDA.</x:v>
      </x:c>
      <x:c r="C280" s="25" t="str">
        <x:f>"44013619000106"</x:f>
        <x:v>44013619000106</x:v>
      </x:c>
      <x:c r="D280" s="23" t="str">
        <x:v>GÁLIA</x:v>
      </x:c>
      <x:c r="E280" s="23" t="str">
        <x:v>megamadeiraa@gmail.com</x:v>
      </x:c>
      <x:c r="F280" s="23" t="str">
        <x:v>1499050300</x:v>
      </x:c>
      <x:c r="G280" s="28" t="str">
        <x:v>Destinatário</x:v>
      </x:c>
      <x:c r="H280" s="29" t="n">
        <x:v>46171</x:v>
      </x:c>
      <x:c r="I280" s="29" t="n">
        <x:v>46204</x:v>
      </x:c>
      <x:c r="J280" s="30" t="str">
        <x:v>DIRCE</x:v>
      </x:c>
      <x:c r="K280" s="30" t="str">
        <x:v>ADMINISTRATIVO - NEGOCIA FRETE</x:v>
      </x:c>
      <x:c r="L280" s="30" t="str">
        <x:v>megamadeiraa@gmail.com</x:v>
      </x:c>
      <x:c r="M280" s="30" t="str">
        <x:v>14999050300</x:v>
      </x:c>
    </x:row>
    <x:row r="281">
      <x:c r="A281" s="27" t="n">
        <x:v>32840</x:v>
      </x:c>
      <x:c r="B281" s="23" t="str">
        <x:v>ACO NOBRE MOVEIS LTDA.</x:v>
      </x:c>
      <x:c r="C281" s="25" t="str">
        <x:f>"05093285000176"</x:f>
        <x:v>05093285000176</x:v>
      </x:c>
      <x:c r="D281" s="23" t="str">
        <x:v>VALENTIM GENTIL</x:v>
      </x:c>
      <x:c r="E281" s="23" t="str">
        <x:v>ACONOBRE@GMAIL.COM</x:v>
      </x:c>
      <x:c r="F281" s="23" t="str">
        <x:v>1734859020</x:v>
      </x:c>
      <x:c r="G281" s="28" t="str">
        <x:v>Destinatário</x:v>
      </x:c>
      <x:c r="H281" s="29" t="n">
        <x:v>46171</x:v>
      </x:c>
      <x:c r="I281" s="29" t="n">
        <x:v>46171</x:v>
      </x:c>
      <x:c r="J281" s="30" t="str"/>
      <x:c r="K281" s="30" t="str"/>
      <x:c r="L281" s="30" t="str"/>
      <x:c r="M281" s="30" t="str"/>
    </x:row>
    <x:row r="282">
      <x:c r="A282" s="27" t="n">
        <x:v>32842</x:v>
      </x:c>
      <x:c r="B282" s="23" t="str">
        <x:v>AUGE ENGENHARIA E CONSTRUCOES LTDA</x:v>
      </x:c>
      <x:c r="C282" s="25" t="str">
        <x:f>"07436021000101"</x:f>
        <x:v>07436021000101</x:v>
      </x:c>
      <x:c r="D282" s="23" t="str">
        <x:v>ARAÇATUBA</x:v>
      </x:c>
      <x:c r="E282" s="23" t="str">
        <x:v>financeiro@augeinc.com</x:v>
      </x:c>
      <x:c r="F282" s="23" t="str">
        <x:v>1821029801</x:v>
      </x:c>
      <x:c r="G282" s="28" t="str">
        <x:v>Destinatário</x:v>
      </x:c>
      <x:c r="H282" s="29" t="n">
        <x:v>46172</x:v>
      </x:c>
      <x:c r="I282" s="29" t="n">
        <x:v>46172</x:v>
      </x:c>
      <x:c r="J282" s="30" t="str">
        <x:v>PROPRIETARIO</x:v>
      </x:c>
      <x:c r="K282" s="30" t="str">
        <x:v>COMERCIAL</x:v>
      </x:c>
      <x:c r="L282" s="30" t="str">
        <x:v>financeiro@augeinc.com</x:v>
      </x:c>
      <x:c r="M282" s="30" t="str">
        <x:v>1821029801</x:v>
      </x:c>
    </x:row>
    <x:row r="283">
      <x:c r="A283" s="27" t="n">
        <x:v>32843</x:v>
      </x:c>
      <x:c r="B283" s="23" t="str">
        <x:v>HG 419 EMPREENDIMENTO IMOBILIARIO SPE LTDA</x:v>
      </x:c>
      <x:c r="C283" s="25" t="str">
        <x:f>"33042262000178"</x:f>
        <x:v>33042262000178</x:v>
      </x:c>
      <x:c r="D283" s="23" t="str">
        <x:v>SÃO JOSÉ DO RIO PRETO</x:v>
      </x:c>
      <x:c r="E283" s="23" t="str"/>
      <x:c r="F283" s="23" t="str">
        <x:v>1731227650</x:v>
      </x:c>
      <x:c r="G283" s="28" t="str">
        <x:v>Destinatário</x:v>
      </x:c>
      <x:c r="H283" s="29" t="n">
        <x:v>46172</x:v>
      </x:c>
      <x:c r="I283" s="29" t="n">
        <x:v>46172</x:v>
      </x:c>
      <x:c r="J283" s="30" t="str"/>
      <x:c r="K283" s="30" t="str"/>
      <x:c r="L283" s="30" t="str"/>
      <x:c r="M283" s="30" t="str"/>
    </x:row>
    <x:row r="284">
      <x:c r="A284" s="27" t="n">
        <x:v>32852</x:v>
      </x:c>
      <x:c r="B284" s="23" t="str">
        <x:v>BIOTIL IND, COM E DESEN CIEN DE BIOFERTILIZANTES LTDA</x:v>
      </x:c>
      <x:c r="C284" s="25" t="str">
        <x:f>"48017231000215"</x:f>
        <x:v>48017231000215</x:v>
      </x:c>
      <x:c r="D284" s="23" t="str">
        <x:v>SANTA FÉ DO SUL</x:v>
      </x:c>
      <x:c r="E284" s="23" t="str">
        <x:v>BIOTILIND@GMAIL.COM.BR</x:v>
      </x:c>
      <x:c r="F284" s="23" t="str">
        <x:v>1122199999</x:v>
      </x:c>
      <x:c r="G284" s="28" t="str">
        <x:v>Destinatário</x:v>
      </x:c>
      <x:c r="H284" s="29" t="n">
        <x:v>46174</x:v>
      </x:c>
      <x:c r="I284" s="29" t="n">
        <x:v>46174</x:v>
      </x:c>
      <x:c r="J284" s="30" t="str"/>
      <x:c r="K284" s="30" t="str"/>
      <x:c r="L284" s="30" t="str"/>
      <x:c r="M284" s="30" t="str"/>
    </x:row>
    <x:row r="285">
      <x:c r="A285" s="27" t="n">
        <x:v>32853</x:v>
      </x:c>
      <x:c r="B285" s="23" t="str">
        <x:v>JOSE ALEXANDRE SALDIBA SIMOES GONCALVES</x:v>
      </x:c>
      <x:c r="C285" s="25" t="str">
        <x:f>"68942200000105"</x:f>
        <x:v>68942200000105</x:v>
      </x:c>
      <x:c r="D285" s="23" t="str">
        <x:v>POMPÉIA</x:v>
      </x:c>
      <x:c r="E285" s="23" t="str">
        <x:v>JOSE.ALEXANDRE@GMAIL.COM</x:v>
      </x:c>
      <x:c r="F285" s="23" t="str">
        <x:v>14997883065</x:v>
      </x:c>
      <x:c r="G285" s="28" t="str">
        <x:v>Destinatário</x:v>
      </x:c>
      <x:c r="H285" s="29" t="n">
        <x:v>46174</x:v>
      </x:c>
      <x:c r="I285" s="29" t="n">
        <x:v>46174</x:v>
      </x:c>
      <x:c r="J285" s="30" t="str"/>
      <x:c r="K285" s="30" t="str"/>
      <x:c r="L285" s="30" t="str"/>
      <x:c r="M285" s="30" t="str"/>
    </x:row>
    <x:row r="286">
      <x:c r="A286" s="27" t="n">
        <x:v>32854</x:v>
      </x:c>
      <x:c r="B286" s="23" t="str">
        <x:v>IAZ TINTAS LTDA</x:v>
      </x:c>
      <x:c r="C286" s="25" t="str">
        <x:f>"66271703000162"</x:f>
        <x:v>66271703000162</x:v>
      </x:c>
      <x:c r="D286" s="23" t="str">
        <x:v>SALTO</x:v>
      </x:c>
      <x:c r="E286" s="23" t="str">
        <x:v>OFICINADASTINTASSALTO@GMAIL.COM</x:v>
      </x:c>
      <x:c r="F286" s="23" t="str">
        <x:v>11956940806</x:v>
      </x:c>
      <x:c r="G286" s="28" t="str">
        <x:v>Destinatário</x:v>
      </x:c>
      <x:c r="H286" s="29" t="n">
        <x:v>46174</x:v>
      </x:c>
      <x:c r="I286" s="29" t="n">
        <x:v>46174</x:v>
      </x:c>
      <x:c r="J286" s="30" t="str"/>
      <x:c r="K286" s="30" t="str"/>
      <x:c r="L286" s="30" t="str"/>
      <x:c r="M286" s="30" t="str"/>
    </x:row>
    <x:row r="287">
      <x:c r="A287" s="27" t="n">
        <x:v>32859</x:v>
      </x:c>
      <x:c r="B287" s="23" t="str">
        <x:v>TOPWAY COMERCIO E DISTRIBUICAO LTDA</x:v>
      </x:c>
      <x:c r="C287" s="25" t="str">
        <x:f>"39971664000214"</x:f>
        <x:v>39971664000214</x:v>
      </x:c>
      <x:c r="D287" s="23" t="str">
        <x:v>SANTANA DE PARNAÍBA</x:v>
      </x:c>
      <x:c r="E287" s="23" t="str">
        <x:v>financeiro@topway.fit</x:v>
      </x:c>
      <x:c r="F287" s="23" t="str">
        <x:v>3499933415</x:v>
      </x:c>
      <x:c r="G287" s="28" t="str">
        <x:v>Destinatário</x:v>
      </x:c>
      <x:c r="H287" s="29" t="n">
        <x:v>46174</x:v>
      </x:c>
      <x:c r="I287" s="29" t="n">
        <x:v>46174</x:v>
      </x:c>
      <x:c r="J287" s="30" t="str"/>
      <x:c r="K287" s="30" t="str"/>
      <x:c r="L287" s="30" t="str"/>
      <x:c r="M287" s="30" t="str"/>
    </x:row>
    <x:row r="288">
      <x:c r="A288" s="27" t="n">
        <x:v>32867</x:v>
      </x:c>
      <x:c r="B288" s="23" t="str">
        <x:v>FIBONACCI MOVELARIA LTDA</x:v>
      </x:c>
      <x:c r="C288" s="25" t="str">
        <x:f>"43208426000148"</x:f>
        <x:v>43208426000148</x:v>
      </x:c>
      <x:c r="D288" s="23" t="str">
        <x:v>PIEDADE</x:v>
      </x:c>
      <x:c r="E288" s="23" t="str"/>
      <x:c r="F288" s="23" t="str">
        <x:v>1732213100</x:v>
      </x:c>
      <x:c r="G288" s="28" t="str">
        <x:v>Destinatário</x:v>
      </x:c>
      <x:c r="H288" s="29" t="n">
        <x:v>46178</x:v>
      </x:c>
      <x:c r="I288" s="29" t="n">
        <x:v>46178</x:v>
      </x:c>
      <x:c r="J288" s="30" t="str">
        <x:v>QUALISOL</x:v>
      </x:c>
      <x:c r="K288" s="30" t="str">
        <x:v>COMPRAS</x:v>
      </x:c>
      <x:c r="L288" s="30" t="str">
        <x:v>compras@qualisol.ind.br</x:v>
      </x:c>
      <x:c r="M288" s="30" t="str">
        <x:v>1732213100</x:v>
      </x:c>
    </x:row>
    <x:row r="289">
      <x:c r="A289" s="27" t="n">
        <x:v>32871</x:v>
      </x:c>
      <x:c r="B289" s="23" t="str">
        <x:v>LEANDRO MAURICIO SHINZATO</x:v>
      </x:c>
      <x:c r="C289" s="25" t="str">
        <x:f>"09176395000152"</x:f>
        <x:v>09176395000152</x:v>
      </x:c>
      <x:c r="D289" s="23" t="str">
        <x:v>ARARAQUARA</x:v>
      </x:c>
      <x:c r="E289" s="23" t="str">
        <x:v>expediente@deltadata.com.br</x:v>
      </x:c>
      <x:c r="F289" s="23" t="str">
        <x:v>1633323385</x:v>
      </x:c>
      <x:c r="G289" s="28" t="str">
        <x:v>Destinatário</x:v>
      </x:c>
      <x:c r="H289" s="29" t="n">
        <x:v>46176</x:v>
      </x:c>
      <x:c r="I289" s="29" t="n">
        <x:v>46176</x:v>
      </x:c>
      <x:c r="J289" s="30" t="str">
        <x:v>LEANDRO MAURICIO</x:v>
      </x:c>
      <x:c r="K289" s="30" t="str">
        <x:v>ADMINISTRATIVO - NEGOCIA FRETE</x:v>
      </x:c>
      <x:c r="L289" s="30" t="str">
        <x:v>expediente@deltadata.com.br</x:v>
      </x:c>
      <x:c r="M289" s="30" t="str">
        <x:v>1633323385</x:v>
      </x:c>
    </x:row>
    <x:row r="290">
      <x:c r="A290" s="27" t="n">
        <x:v>32872</x:v>
      </x:c>
      <x:c r="B290" s="23" t="str">
        <x:v>64.195.385 DANILO PAGANI GURTLER</x:v>
      </x:c>
      <x:c r="C290" s="25" t="str">
        <x:f>"64195385000172"</x:f>
        <x:v>64195385000172</x:v>
      </x:c>
      <x:c r="D290" s="23" t="str">
        <x:v>LEME</x:v>
      </x:c>
      <x:c r="E290" s="23" t="str">
        <x:v>DANPGURTLER@GMAIL.COM</x:v>
      </x:c>
      <x:c r="F290" s="23" t="str">
        <x:v>1991886877</x:v>
      </x:c>
      <x:c r="G290" s="28" t="str">
        <x:v>Destinatário</x:v>
      </x:c>
      <x:c r="H290" s="29" t="n">
        <x:v>46178</x:v>
      </x:c>
      <x:c r="I290" s="29" t="n">
        <x:v>46178</x:v>
      </x:c>
      <x:c r="J290" s="30" t="str">
        <x:v>CARLOS</x:v>
      </x:c>
      <x:c r="K290" s="30" t="str">
        <x:v>COMERCIAL</x:v>
      </x:c>
      <x:c r="L290" s="30" t="str">
        <x:v>DANPGURTLER@GMAIL.COM</x:v>
      </x:c>
      <x:c r="M290" s="30" t="str">
        <x:v>1991886877</x:v>
      </x:c>
    </x:row>
    <x:row r="291">
      <x:c r="A291" s="27" t="n">
        <x:v>32873</x:v>
      </x:c>
      <x:c r="B291" s="23" t="str">
        <x:v>A M G TINTAS E MATERIAIS DE CONSTRUCAO LTDA</x:v>
      </x:c>
      <x:c r="C291" s="25" t="str">
        <x:f>"66047183000109"</x:f>
        <x:v>66047183000109</x:v>
      </x:c>
      <x:c r="D291" s="23" t="str">
        <x:v>GUZOLÂNDIA</x:v>
      </x:c>
      <x:c r="E291" s="23" t="str">
        <x:v>SA.CONTABILIDADEGS@GMAIL.COM</x:v>
      </x:c>
      <x:c r="F291" s="23" t="str">
        <x:v>17981418141</x:v>
      </x:c>
      <x:c r="G291" s="28" t="str">
        <x:v>Destinatário</x:v>
      </x:c>
      <x:c r="H291" s="29" t="n">
        <x:v>46178</x:v>
      </x:c>
      <x:c r="I291" s="29" t="n">
        <x:v>46178</x:v>
      </x:c>
      <x:c r="J291" s="30" t="str">
        <x:v>CARLOS</x:v>
      </x:c>
      <x:c r="K291" s="30" t="str">
        <x:v>COMERCIAL</x:v>
      </x:c>
      <x:c r="L291" s="30" t="str">
        <x:v>SA.CONTABILIDADEGS@GMAIL.COM</x:v>
      </x:c>
      <x:c r="M291" s="30" t="str">
        <x:v>17981418141</x:v>
      </x:c>
    </x:row>
    <x:row r="292">
      <x:c r="A292" s="27" t="n">
        <x:v>32878</x:v>
      </x:c>
      <x:c r="B292" s="23" t="str">
        <x:v>RDS MATERIAIS ELETRICOS E ILUMINACAO LTDA</x:v>
      </x:c>
      <x:c r="C292" s="25" t="str">
        <x:f>"40794319000150"</x:f>
        <x:v>40794319000150</x:v>
      </x:c>
      <x:c r="D292" s="23" t="str">
        <x:v>LIMEIRA</x:v>
      </x:c>
      <x:c r="E292" s="23" t="str">
        <x:v>RDS.COMERCIAL@OUTLOOK.COM</x:v>
      </x:c>
      <x:c r="F292" s="23" t="str">
        <x:v>19995624903</x:v>
      </x:c>
      <x:c r="G292" s="28" t="str">
        <x:v>Destinatário</x:v>
      </x:c>
      <x:c r="H292" s="29" t="n">
        <x:v>46181</x:v>
      </x:c>
      <x:c r="I292" s="29" t="n">
        <x:v>46181</x:v>
      </x:c>
      <x:c r="J292" s="30" t="str"/>
      <x:c r="K292" s="30" t="str"/>
      <x:c r="L292" s="30" t="str"/>
      <x:c r="M292" s="30" t="str"/>
    </x:row>
    <x:row r="293">
      <x:c r="A293" s="27" t="n">
        <x:v>32879</x:v>
      </x:c>
      <x:c r="B293" s="23" t="str">
        <x:v>FIACAO ALPINA LTDA</x:v>
      </x:c>
      <x:c r="C293" s="25" t="str">
        <x:f>"49418890000730"</x:f>
        <x:v>49418890000730</x:v>
      </x:c>
      <x:c r="D293" s="23" t="str">
        <x:v>MORUNGABA</x:v>
      </x:c>
      <x:c r="E293" s="23" t="str"/>
      <x:c r="F293" s="23" t="str"/>
      <x:c r="G293" s="28" t="str">
        <x:v>Destinatário</x:v>
      </x:c>
      <x:c r="H293" s="29" t="n">
        <x:v>46182</x:v>
      </x:c>
      <x:c r="I293" s="29" t="n">
        <x:v>46182</x:v>
      </x:c>
      <x:c r="J293" s="30" t="str"/>
      <x:c r="K293" s="30" t="str"/>
      <x:c r="L293" s="30" t="str"/>
      <x:c r="M293" s="30" t="str"/>
    </x:row>
    <x:row r="294">
      <x:c r="A294" s="27" t="n">
        <x:v>32880</x:v>
      </x:c>
      <x:c r="B294" s="23" t="str">
        <x:v>LUCIA NERIA FERREIRA DUARTE DA CRUZ</x:v>
      </x:c>
      <x:c r="C294" s="25" t="str">
        <x:f>"32693945000122"</x:f>
        <x:v>32693945000122</x:v>
      </x:c>
      <x:c r="D294" s="23" t="str">
        <x:v>ARAÇATUBA</x:v>
      </x:c>
      <x:c r="E294" s="23" t="str">
        <x:v>MARCELO.CONTABILIDADE@HOTMAIL.COM</x:v>
      </x:c>
      <x:c r="F294" s="23" t="str">
        <x:v>1836217920</x:v>
      </x:c>
      <x:c r="G294" s="28" t="str">
        <x:v>Destinatário</x:v>
      </x:c>
      <x:c r="H294" s="29" t="n">
        <x:v>46181</x:v>
      </x:c>
      <x:c r="I294" s="29" t="n">
        <x:v>46181</x:v>
      </x:c>
      <x:c r="J294" s="30" t="str"/>
      <x:c r="K294" s="30" t="str"/>
      <x:c r="L294" s="30" t="str"/>
      <x:c r="M294" s="30" t="str"/>
    </x:row>
    <x:row r="295">
      <x:c r="A295" s="27" t="n">
        <x:v>32881</x:v>
      </x:c>
      <x:c r="B295" s="23" t="str">
        <x:v>FABIO FREDERICO DE OLIVEIRA</x:v>
      </x:c>
      <x:c r="C295" s="25" t="str">
        <x:f>"43632615000143"</x:f>
        <x:v>43632615000143</x:v>
      </x:c>
      <x:c r="D295" s="23" t="str">
        <x:v>TUPÃ</x:v>
      </x:c>
      <x:c r="E295" s="23" t="str">
        <x:v>robertox.contabilidade@outlook.com</x:v>
      </x:c>
      <x:c r="F295" s="23" t="str">
        <x:v>14996370829</x:v>
      </x:c>
      <x:c r="G295" s="28" t="str">
        <x:v>Destinatário</x:v>
      </x:c>
      <x:c r="H295" s="29" t="n">
        <x:v>46181</x:v>
      </x:c>
      <x:c r="I295" s="29" t="n">
        <x:v>46181</x:v>
      </x:c>
      <x:c r="J295" s="30" t="str">
        <x:v>ADM</x:v>
      </x:c>
      <x:c r="K295" s="30" t="str">
        <x:v>ADMINISTRATIVO - NEGOCIA FRETE</x:v>
      </x:c>
      <x:c r="L295" s="30" t="str">
        <x:v>robertox.contabilidade@outlook.com</x:v>
      </x:c>
      <x:c r="M295" s="30" t="str">
        <x:v>14996370829</x:v>
      </x:c>
    </x:row>
    <x:row r="296">
      <x:c r="A296" s="27" t="n">
        <x:v>32882</x:v>
      </x:c>
      <x:c r="B296" s="23" t="str">
        <x:v>ROSANGELA SUELI CORREA VELAME</x:v>
      </x:c>
      <x:c r="C296" s="25" t="str">
        <x:f>"14234921000123"</x:f>
        <x:v>14234921000123</x:v>
      </x:c>
      <x:c r="D296" s="23" t="str">
        <x:v>ITARARÉ</x:v>
      </x:c>
      <x:c r="E296" s="23" t="str">
        <x:v>DIVELTINTASROSANGELA@HOTMAIL.COM</x:v>
      </x:c>
      <x:c r="F296" s="23" t="str">
        <x:v>1535323961</x:v>
      </x:c>
      <x:c r="G296" s="28" t="str">
        <x:v>Destinatário</x:v>
      </x:c>
      <x:c r="H296" s="29" t="n">
        <x:v>46181</x:v>
      </x:c>
      <x:c r="I296" s="29" t="n">
        <x:v>46181</x:v>
      </x:c>
      <x:c r="J296" s="30" t="str"/>
      <x:c r="K296" s="30" t="str"/>
      <x:c r="L296" s="30" t="str"/>
      <x:c r="M296" s="30" t="str"/>
    </x:row>
    <x:row r="297">
      <x:c r="A297" s="27" t="n">
        <x:v>32884</x:v>
      </x:c>
      <x:c r="B297" s="23" t="str">
        <x:v>TIAGO VARANDAS GROPPO</x:v>
      </x:c>
      <x:c r="C297" s="25" t="str">
        <x:f>"21868785000199"</x:f>
        <x:v>21868785000199</x:v>
      </x:c>
      <x:c r="D297" s="23" t="str">
        <x:v>AMPARO</x:v>
      </x:c>
      <x:c r="E297" s="23" t="str">
        <x:v>TIAGOGROPPO22@GMAIL.COM</x:v>
      </x:c>
      <x:c r="F297" s="23" t="str">
        <x:v>1121354444</x:v>
      </x:c>
      <x:c r="G297" s="28" t="str">
        <x:v>Destinatário</x:v>
      </x:c>
      <x:c r="H297" s="29" t="n">
        <x:v>46182</x:v>
      </x:c>
      <x:c r="I297" s="29" t="n">
        <x:v>46182</x:v>
      </x:c>
      <x:c r="J297" s="30" t="str"/>
      <x:c r="K297" s="30" t="str"/>
      <x:c r="L297" s="30" t="str"/>
      <x:c r="M297" s="30" t="str"/>
    </x:row>
    <x:row r="298">
      <x:c r="A298" s="27" t="n">
        <x:v>32885</x:v>
      </x:c>
      <x:c r="B298" s="23" t="str">
        <x:v>DUTRA MAQUINAS COMERCIAL E TECNICA LTDA</x:v>
      </x:c>
      <x:c r="C298" s="25" t="str">
        <x:f>"50970342000889"</x:f>
        <x:v>50970342000889</x:v>
      </x:c>
      <x:c r="D298" s="23" t="str">
        <x:v>SÃO PAULO</x:v>
      </x:c>
      <x:c r="E298" s="23" t="str"/>
      <x:c r="F298" s="23" t="str"/>
      <x:c r="G298" s="28" t="str">
        <x:v>Destinatário</x:v>
      </x:c>
      <x:c r="H298" s="29" t="n">
        <x:v>46182</x:v>
      </x:c>
      <x:c r="I298" s="29" t="n">
        <x:v>46184</x:v>
      </x:c>
      <x:c r="J298" s="30" t="str"/>
      <x:c r="K298" s="30" t="str"/>
      <x:c r="L298" s="30" t="str"/>
      <x:c r="M298" s="30" t="str"/>
    </x:row>
    <x:row r="299">
      <x:c r="A299" s="27" t="n">
        <x:v>32886</x:v>
      </x:c>
      <x:c r="B299" s="23" t="str">
        <x:v>ADRIANO DANIEL RIBEIRO &amp; CIA LTDA</x:v>
      </x:c>
      <x:c r="C299" s="25" t="str">
        <x:f>"51489889000153"</x:f>
        <x:v>51489889000153</x:v>
      </x:c>
      <x:c r="D299" s="23" t="str">
        <x:v>PEDERNEIRAS</x:v>
      </x:c>
      <x:c r="E299" s="23" t="str">
        <x:v>financeiro1@universotintas.com.br</x:v>
      </x:c>
      <x:c r="F299" s="23" t="str">
        <x:v>1488085280</x:v>
      </x:c>
      <x:c r="G299" s="28" t="str">
        <x:v>Destinatário</x:v>
      </x:c>
      <x:c r="H299" s="29" t="n">
        <x:v>46182</x:v>
      </x:c>
      <x:c r="I299" s="29" t="n">
        <x:v>46182</x:v>
      </x:c>
      <x:c r="J299" s="30" t="str">
        <x:v>ADRIANO</x:v>
      </x:c>
      <x:c r="K299" s="30" t="str">
        <x:v>LOGISTICA</x:v>
      </x:c>
      <x:c r="L299" s="30" t="str">
        <x:v>financeiro1@UNIVERSOTINTAS.COM.BR</x:v>
      </x:c>
      <x:c r="M299" s="30" t="str">
        <x:v>14888085280</x:v>
      </x:c>
    </x:row>
    <x:row r="300">
      <x:c r="A300" s="27" t="n">
        <x:v>32891</x:v>
      </x:c>
      <x:c r="B300" s="23" t="str">
        <x:v>CAVAGNA GROUP DO BRASIL COM IMPO EXPORTACAO LTDA.</x:v>
      </x:c>
      <x:c r="C300" s="25" t="str">
        <x:f>"24248952000197"</x:f>
        <x:v>24248952000197</x:v>
      </x:c>
      <x:c r="D300" s="23" t="str">
        <x:v>VALINHOS</x:v>
      </x:c>
      <x:c r="E300" s="23" t="str">
        <x:v>jozilenecosta@brasil.cavagnagroup.com</x:v>
      </x:c>
      <x:c r="F300" s="23" t="str">
        <x:v>1931140057</x:v>
      </x:c>
      <x:c r="G300" s="28" t="str">
        <x:v>Destinatário</x:v>
      </x:c>
      <x:c r="H300" s="29" t="n">
        <x:v>46183</x:v>
      </x:c>
      <x:c r="I300" s="29" t="n">
        <x:v>46183</x:v>
      </x:c>
      <x:c r="J300" s="30" t="str"/>
      <x:c r="K300" s="30" t="str"/>
      <x:c r="L300" s="30" t="str"/>
      <x:c r="M300" s="30" t="str"/>
    </x:row>
    <x:row r="301">
      <x:c r="A301" s="27" t="n">
        <x:v>32893</x:v>
      </x:c>
      <x:c r="B301" s="23" t="str">
        <x:v>BRAZIL METAIS PERFURADOS RIO PRETO LTDA</x:v>
      </x:c>
      <x:c r="C301" s="25" t="str">
        <x:f>"05753533000168"</x:f>
        <x:v>05753533000168</x:v>
      </x:c>
      <x:c r="D301" s="23" t="str">
        <x:v>SÃO JOSÉ DO RIO PRETO</x:v>
      </x:c>
      <x:c r="E301" s="23" t="str">
        <x:v>mtakato@terra.com.br</x:v>
      </x:c>
      <x:c r="F301" s="23" t="str">
        <x:v>1732325333</x:v>
      </x:c>
      <x:c r="G301" s="28" t="str">
        <x:v>Destinatário</x:v>
      </x:c>
      <x:c r="H301" s="29" t="n">
        <x:v>46183</x:v>
      </x:c>
      <x:c r="I301" s="29" t="n">
        <x:v>46183</x:v>
      </x:c>
      <x:c r="J301" s="30" t="str"/>
      <x:c r="K301" s="30" t="str"/>
      <x:c r="L301" s="30" t="str"/>
      <x:c r="M301" s="30" t="str"/>
    </x:row>
    <x:row r="302">
      <x:c r="A302" s="27" t="n">
        <x:v>32894</x:v>
      </x:c>
      <x:c r="B302" s="23" t="str">
        <x:v>COMERCIAL SAO DIMAS DE PIRACICABA LTDA</x:v>
      </x:c>
      <x:c r="C302" s="25" t="str">
        <x:f>"05481371000156"</x:f>
        <x:v>05481371000156</x:v>
      </x:c>
      <x:c r="D302" s="23" t="str">
        <x:v>PIRACICABA</x:v>
      </x:c>
      <x:c r="E302" s="23" t="str">
        <x:v>COMERCIALDIMAS@GMAIL.COM</x:v>
      </x:c>
      <x:c r="F302" s="23" t="str">
        <x:v>1934328600</x:v>
      </x:c>
      <x:c r="G302" s="28" t="str">
        <x:v>Destinatário</x:v>
      </x:c>
      <x:c r="H302" s="29" t="n">
        <x:v>46183</x:v>
      </x:c>
      <x:c r="I302" s="29" t="n">
        <x:v>46183</x:v>
      </x:c>
      <x:c r="J302" s="30" t="str"/>
      <x:c r="K302" s="30" t="str"/>
      <x:c r="L302" s="30" t="str"/>
      <x:c r="M302" s="30" t="str"/>
    </x:row>
    <x:row r="303">
      <x:c r="A303" s="27" t="n">
        <x:v>32897</x:v>
      </x:c>
      <x:c r="B303" s="23" t="str">
        <x:v>SERRANA TINTAS LTDA</x:v>
      </x:c>
      <x:c r="C303" s="25" t="str">
        <x:f>"50841067000127"</x:f>
        <x:v>50841067000127</x:v>
      </x:c>
      <x:c r="D303" s="23" t="str">
        <x:v>SERRANA</x:v>
      </x:c>
      <x:c r="E303" s="23" t="str">
        <x:v>natalia.dalmaso@hotmail.com</x:v>
      </x:c>
      <x:c r="F303" s="23" t="str">
        <x:v>16988118971</x:v>
      </x:c>
      <x:c r="G303" s="28" t="str">
        <x:v>Destinatário</x:v>
      </x:c>
      <x:c r="H303" s="29" t="n">
        <x:v>46192</x:v>
      </x:c>
      <x:c r="I303" s="29" t="n">
        <x:v>46183</x:v>
      </x:c>
      <x:c r="J303" s="30" t="str">
        <x:v>NATALIA</x:v>
      </x:c>
      <x:c r="K303" s="30" t="str">
        <x:v>ADMINISTRATIVO - NEGOCIA FRETE</x:v>
      </x:c>
      <x:c r="L303" s="30" t="str">
        <x:v>natalia.dalmaso@hotmail.com</x:v>
      </x:c>
      <x:c r="M303" s="30" t="str">
        <x:v>16992448292</x:v>
      </x:c>
    </x:row>
    <x:row r="304">
      <x:c r="A304" s="27" t="n">
        <x:v>32898</x:v>
      </x:c>
      <x:c r="B304" s="23" t="str">
        <x:v>ASCEN FRANCA 6 EMPREENDIMENTO IMOBILIARIO SPE LTDA</x:v>
      </x:c>
      <x:c r="C304" s="25" t="str">
        <x:f>"31600019000100"</x:f>
        <x:v>31600019000100</x:v>
      </x:c>
      <x:c r="D304" s="23" t="str">
        <x:v>RIBEIRÃO PRETO</x:v>
      </x:c>
      <x:c r="E304" s="23" t="str">
        <x:v>ASCENFRANCA@GMAIL.COM</x:v>
      </x:c>
      <x:c r="F304" s="23" t="str">
        <x:v>1639130300</x:v>
      </x:c>
      <x:c r="G304" s="28" t="str">
        <x:v>Destinatário</x:v>
      </x:c>
      <x:c r="H304" s="29" t="n">
        <x:v>46184</x:v>
      </x:c>
      <x:c r="I304" s="29" t="n">
        <x:v>46184</x:v>
      </x:c>
      <x:c r="J304" s="30" t="str"/>
      <x:c r="K304" s="30" t="str"/>
      <x:c r="L304" s="30" t="str"/>
      <x:c r="M304" s="30" t="str"/>
    </x:row>
    <x:row r="305">
      <x:c r="A305" s="27" t="n">
        <x:v>32899</x:v>
      </x:c>
      <x:c r="B305" s="23" t="str">
        <x:v>ZUM E REY ZR DISTRIBUIDORA LTDA</x:v>
      </x:c>
      <x:c r="C305" s="25" t="str">
        <x:f>"23892738000106"</x:f>
        <x:v>23892738000106</x:v>
      </x:c>
      <x:c r="D305" s="23" t="str">
        <x:v>JUNDIAÍ</x:v>
      </x:c>
      <x:c r="E305" s="23" t="str">
        <x:v>zr.ferragens@gmail.com</x:v>
      </x:c>
      <x:c r="F305" s="23" t="str">
        <x:v>1133959578</x:v>
      </x:c>
      <x:c r="G305" s="28" t="str">
        <x:v>Destinatário</x:v>
      </x:c>
      <x:c r="H305" s="29" t="n">
        <x:v>46190</x:v>
      </x:c>
      <x:c r="I305" s="29" t="n">
        <x:v>46190</x:v>
      </x:c>
      <x:c r="J305" s="30" t="str">
        <x:v>FABIO</x:v>
      </x:c>
      <x:c r="K305" s="30" t="str">
        <x:v>ADMINISTRATIVO - NEGOCIA FRETE</x:v>
      </x:c>
      <x:c r="L305" s="30" t="str">
        <x:v>zr.ferragens@gmail.com</x:v>
      </x:c>
      <x:c r="M305" s="30" t="str">
        <x:v>1133959578</x:v>
      </x:c>
    </x:row>
    <x:row r="306">
      <x:c r="A306" s="27" t="n">
        <x:v>32902</x:v>
      </x:c>
      <x:c r="B306" s="23" t="str">
        <x:v>LUMINAREA DESIGN DE ILUMINACAO LTDA</x:v>
      </x:c>
      <x:c r="C306" s="25" t="str">
        <x:f>"43627093000191"</x:f>
        <x:v>43627093000191</x:v>
      </x:c>
      <x:c r="D306" s="23" t="str">
        <x:v>SOROCABA</x:v>
      </x:c>
      <x:c r="E306" s="23" t="str">
        <x:v>FINANCEIRO@LUMINAREA.COM.BR</x:v>
      </x:c>
      <x:c r="F306" s="23" t="str">
        <x:v>15991209981</x:v>
      </x:c>
      <x:c r="G306" s="28" t="str">
        <x:v>Destinatário</x:v>
      </x:c>
      <x:c r="H306" s="29" t="n">
        <x:v>46184</x:v>
      </x:c>
      <x:c r="I306" s="29" t="n">
        <x:v>46184</x:v>
      </x:c>
      <x:c r="J306" s="30" t="str"/>
      <x:c r="K306" s="30" t="str"/>
      <x:c r="L306" s="30" t="str"/>
      <x:c r="M306" s="30" t="str"/>
    </x:row>
    <x:row r="307">
      <x:c r="A307" s="27" t="n">
        <x:v>32911</x:v>
      </x:c>
      <x:c r="B307" s="23" t="str">
        <x:v>64.980.148 NATALIA OLIVEIRA DA SILVA</x:v>
      </x:c>
      <x:c r="C307" s="25" t="str">
        <x:f>"64980148000112"</x:f>
        <x:v>64980148000112</x:v>
      </x:c>
      <x:c r="D307" s="23" t="str">
        <x:v>SERTÃOZINHO</x:v>
      </x:c>
      <x:c r="E307" s="23" t="str">
        <x:v>nataliasilva115689@gmail.com</x:v>
      </x:c>
      <x:c r="F307" s="23" t="str">
        <x:v>1692735311</x:v>
      </x:c>
      <x:c r="G307" s="28" t="str">
        <x:v>Destinatário</x:v>
      </x:c>
      <x:c r="H307" s="29" t="n">
        <x:v>46185</x:v>
      </x:c>
      <x:c r="I307" s="29" t="n">
        <x:v>46185</x:v>
      </x:c>
      <x:c r="J307" s="30" t="str">
        <x:v>NATALIA</x:v>
      </x:c>
      <x:c r="K307" s="30" t="str">
        <x:v>ADMINISTRATIVO - NEGOCIA FRETE</x:v>
      </x:c>
      <x:c r="L307" s="30" t="str">
        <x:v>nataliasilva115689@gmail.com</x:v>
      </x:c>
      <x:c r="M307" s="30" t="str">
        <x:v>16992735311</x:v>
      </x:c>
    </x:row>
    <x:row r="308">
      <x:c r="A308" s="27" t="n">
        <x:v>32912</x:v>
      </x:c>
      <x:c r="B308" s="23" t="str">
        <x:v>MODA COMERCIAL PORTO FERREIRA LTDA</x:v>
      </x:c>
      <x:c r="C308" s="25" t="str">
        <x:f>"65338706000103"</x:f>
        <x:v>65338706000103</x:v>
      </x:c>
      <x:c r="D308" s="23" t="str">
        <x:v>PORTO FERREIRA</x:v>
      </x:c>
      <x:c r="E308" s="23" t="str">
        <x:v>contato@coopertintaspf.com.br</x:v>
      </x:c>
      <x:c r="F308" s="23" t="str">
        <x:v>1935893876</x:v>
      </x:c>
      <x:c r="G308" s="28" t="str">
        <x:v>Destinatário</x:v>
      </x:c>
      <x:c r="H308" s="29" t="n">
        <x:v>46192</x:v>
      </x:c>
      <x:c r="I308" s="29" t="n">
        <x:v>46185</x:v>
      </x:c>
      <x:c r="J308" s="30" t="str">
        <x:v>JOSE LUIZ</x:v>
      </x:c>
      <x:c r="K308" s="30" t="str">
        <x:v>ADMINISTRATIVO - NEGOCIA FRETE</x:v>
      </x:c>
      <x:c r="L308" s="30" t="str">
        <x:v>abcd@efg.com.br</x:v>
      </x:c>
      <x:c r="M308" s="30" t="str">
        <x:v>1935893876</x:v>
      </x:c>
    </x:row>
    <x:row r="309">
      <x:c r="A309" s="27" t="n">
        <x:v>32914</x:v>
      </x:c>
      <x:c r="B309" s="23" t="str">
        <x:v>ALMACOR TINTAS CARBALLEDA LTDA</x:v>
      </x:c>
      <x:c r="C309" s="25" t="str">
        <x:f>"66349836000104"</x:f>
        <x:v>66349836000104</x:v>
      </x:c>
      <x:c r="D309" s="23" t="str">
        <x:v>TORRINHA</x:v>
      </x:c>
      <x:c r="E309" s="23" t="str">
        <x:v>ALMACOR.TINTAS@GMAIL.COM</x:v>
      </x:c>
      <x:c r="F309" s="23" t="str">
        <x:v>19996513536</x:v>
      </x:c>
      <x:c r="G309" s="28" t="str">
        <x:v>Destinatário</x:v>
      </x:c>
      <x:c r="H309" s="29" t="n">
        <x:v>46188</x:v>
      </x:c>
      <x:c r="I309" s="29" t="n">
        <x:v>46188</x:v>
      </x:c>
      <x:c r="J309" s="30" t="str"/>
      <x:c r="K309" s="30" t="str"/>
      <x:c r="L309" s="30" t="str"/>
      <x:c r="M309" s="30" t="str"/>
    </x:row>
    <x:row r="310">
      <x:c r="A310" s="27" t="n">
        <x:v>32915</x:v>
      </x:c>
      <x:c r="B310" s="23" t="str">
        <x:v>TAGLITEC INDUSTRIA DE PECAS AUTOMOTIVAS LTDA</x:v>
      </x:c>
      <x:c r="C310" s="25" t="str">
        <x:f>"53158720000146"</x:f>
        <x:v>53158720000146</x:v>
      </x:c>
      <x:c r="D310" s="23" t="str">
        <x:v>SÃO CAETANO DO SUL</x:v>
      </x:c>
      <x:c r="E310" s="23" t="str">
        <x:v>rafaelschiavo@ajrs.com.br</x:v>
      </x:c>
      <x:c r="F310" s="23" t="str">
        <x:v>1143184807</x:v>
      </x:c>
      <x:c r="G310" s="28" t="str">
        <x:v>Destinatário</x:v>
      </x:c>
      <x:c r="H310" s="29" t="n">
        <x:v>46188</x:v>
      </x:c>
      <x:c r="I310" s="29" t="n">
        <x:v>46188</x:v>
      </x:c>
      <x:c r="J310" s="30" t="str"/>
      <x:c r="K310" s="30" t="str"/>
      <x:c r="L310" s="30" t="str"/>
      <x:c r="M310" s="30" t="str"/>
    </x:row>
    <x:row r="311">
      <x:c r="A311" s="27" t="n">
        <x:v>32916</x:v>
      </x:c>
      <x:c r="B311" s="23" t="str">
        <x:v>MUNICIPIO DE HERCULANDIA</x:v>
      </x:c>
      <x:c r="C311" s="25" t="str">
        <x:f>"44568277000190"</x:f>
        <x:v>44568277000190</x:v>
      </x:c>
      <x:c r="D311" s="23" t="str">
        <x:v>HERCULÂNDIA</x:v>
      </x:c>
      <x:c r="E311" s="23" t="str"/>
      <x:c r="F311" s="23" t="str">
        <x:v>1434869090</x:v>
      </x:c>
      <x:c r="G311" s="28" t="str">
        <x:v>Destinatário</x:v>
      </x:c>
      <x:c r="H311" s="29" t="n">
        <x:v>46189</x:v>
      </x:c>
      <x:c r="I311" s="29" t="n">
        <x:v>46189</x:v>
      </x:c>
      <x:c r="J311" s="30" t="str"/>
      <x:c r="K311" s="30" t="str"/>
      <x:c r="L311" s="30" t="str"/>
      <x:c r="M311" s="30" t="str"/>
    </x:row>
    <x:row r="312">
      <x:c r="A312" s="27" t="n">
        <x:v>32923</x:v>
      </x:c>
      <x:c r="B312" s="23" t="str">
        <x:v>QUEIROZ MATERIAIS DE CONSTRUCAO LTDA</x:v>
      </x:c>
      <x:c r="C312" s="25" t="str">
        <x:f>"64554918000165"</x:f>
        <x:v>64554918000165</x:v>
      </x:c>
      <x:c r="D312" s="23" t="str">
        <x:v>QUEIROZ</x:v>
      </x:c>
      <x:c r="E312" s="23" t="str"/>
      <x:c r="F312" s="23" t="str">
        <x:v>18997718272</x:v>
      </x:c>
      <x:c r="G312" s="28" t="str">
        <x:v>Destinatário</x:v>
      </x:c>
      <x:c r="H312" s="29" t="n">
        <x:v>46190</x:v>
      </x:c>
      <x:c r="I312" s="29" t="n">
        <x:v>46190</x:v>
      </x:c>
      <x:c r="J312" s="30" t="str"/>
      <x:c r="K312" s="30" t="str"/>
      <x:c r="L312" s="30" t="str"/>
      <x:c r="M312" s="30" t="str"/>
    </x:row>
    <x:row r="313">
      <x:c r="A313" s="27" t="n">
        <x:v>32925</x:v>
      </x:c>
      <x:c r="B313" s="23" t="str">
        <x:v>MARE CONSTRUTORA E INCORPORADORA LTDA</x:v>
      </x:c>
      <x:c r="C313" s="25" t="str">
        <x:f>"03943222000136"</x:f>
        <x:v>03943222000136</x:v>
      </x:c>
      <x:c r="D313" s="23" t="str">
        <x:v>BAURU</x:v>
      </x:c>
      <x:c r="E313" s="23" t="str">
        <x:v>PEDRO.TONELLO@CONSTRUTORAMARE.COM.BR</x:v>
      </x:c>
      <x:c r="F313" s="23" t="str">
        <x:v>1432047961</x:v>
      </x:c>
      <x:c r="G313" s="28" t="str">
        <x:v>Destinatário</x:v>
      </x:c>
      <x:c r="H313" s="29" t="n">
        <x:v>46189</x:v>
      </x:c>
      <x:c r="I313" s="29" t="n">
        <x:v>46189</x:v>
      </x:c>
      <x:c r="J313" s="30" t="str"/>
      <x:c r="K313" s="30" t="str"/>
      <x:c r="L313" s="30" t="str"/>
      <x:c r="M313" s="30" t="str"/>
    </x:row>
    <x:row r="314">
      <x:c r="A314" s="27" t="n">
        <x:v>32934</x:v>
      </x:c>
      <x:c r="B314" s="23" t="str">
        <x:v>PERFUMARIA GOYA LTDA</x:v>
      </x:c>
      <x:c r="C314" s="25" t="str">
        <x:f>"09211173000476"</x:f>
        <x:v>09211173000476</x:v>
      </x:c>
      <x:c r="D314" s="23" t="str">
        <x:v>RIBEIRÃO PRETO</x:v>
      </x:c>
      <x:c r="E314" s="23" t="str">
        <x:v>ribeirao@perfumariagoya.com.br</x:v>
      </x:c>
      <x:c r="F314" s="23" t="str">
        <x:v>1635146155</x:v>
      </x:c>
      <x:c r="G314" s="28" t="str">
        <x:v>Destinatário</x:v>
      </x:c>
      <x:c r="H314" s="29" t="n">
        <x:v>46189</x:v>
      </x:c>
      <x:c r="I314" s="29" t="n">
        <x:v>46189</x:v>
      </x:c>
      <x:c r="J314" s="30" t="str">
        <x:v>LUCIA SATIKO</x:v>
      </x:c>
      <x:c r="K314" s="30" t="str">
        <x:v>ADMINISTRATIVO - NEGOCIA FRETE</x:v>
      </x:c>
      <x:c r="L314" s="30" t="str">
        <x:v>ribeirao@perfumariagoya.com.br</x:v>
      </x:c>
      <x:c r="M314" s="30" t="str">
        <x:v>1635146155</x:v>
      </x:c>
    </x:row>
    <x:row r="315">
      <x:c r="A315" s="27" t="n">
        <x:v>32935</x:v>
      </x:c>
      <x:c r="B315" s="23" t="str">
        <x:v>ENGETRONIC - ENGENHARIA DE MANUTENCAO INDUSTRIAL LTDA</x:v>
      </x:c>
      <x:c r="C315" s="25" t="str">
        <x:f>"11430255000100"</x:f>
        <x:v>11430255000100</x:v>
      </x:c>
      <x:c r="D315" s="23" t="str">
        <x:v>MOGI GUAÇU</x:v>
      </x:c>
      <x:c r="E315" s="23" t="str"/>
      <x:c r="F315" s="23" t="str"/>
      <x:c r="G315" s="28" t="str">
        <x:v>Destinatário</x:v>
      </x:c>
      <x:c r="H315" s="29" t="n">
        <x:v>46191</x:v>
      </x:c>
      <x:c r="I315" s="29" t="n">
        <x:v>46191</x:v>
      </x:c>
      <x:c r="J315" s="30" t="str"/>
      <x:c r="K315" s="30" t="str"/>
      <x:c r="L315" s="30" t="str"/>
      <x:c r="M315" s="30" t="str"/>
    </x:row>
    <x:row r="316">
      <x:c r="A316" s="27" t="n">
        <x:v>32937</x:v>
      </x:c>
      <x:c r="B316" s="23" t="str">
        <x:v>LONGITUDE HORTOLANDIA CVA 8 EMP IMOB SPE S.A.</x:v>
      </x:c>
      <x:c r="C316" s="25" t="str">
        <x:f>"48905840000120"</x:f>
        <x:v>48905840000120</x:v>
      </x:c>
      <x:c r="D316" s="23" t="str">
        <x:v>INDAIATUBA</x:v>
      </x:c>
      <x:c r="E316" s="23" t="str">
        <x:v>SOCIETARIO@RIVCONTABILIDADE.COM.BR</x:v>
      </x:c>
      <x:c r="F316" s="23" t="str">
        <x:v>19992279001</x:v>
      </x:c>
      <x:c r="G316" s="28" t="str">
        <x:v>Destinatário</x:v>
      </x:c>
      <x:c r="H316" s="29" t="n">
        <x:v>46190</x:v>
      </x:c>
      <x:c r="I316" s="29" t="n">
        <x:v>46190</x:v>
      </x:c>
      <x:c r="J316" s="30" t="str"/>
      <x:c r="K316" s="30" t="str"/>
      <x:c r="L316" s="30" t="str"/>
      <x:c r="M316" s="30" t="str"/>
    </x:row>
    <x:row r="317">
      <x:c r="A317" s="27" t="n">
        <x:v>32938</x:v>
      </x:c>
      <x:c r="B317" s="23" t="str">
        <x:v>RESIDENCIAL MORADAS PAULINIA I SPE LTDA</x:v>
      </x:c>
      <x:c r="C317" s="25" t="str">
        <x:f>"58530699000181"</x:f>
        <x:v>58530699000181</x:v>
      </x:c>
      <x:c r="D317" s="23" t="str">
        <x:v>INDAIATUBA</x:v>
      </x:c>
      <x:c r="E317" s="23" t="str">
        <x:v>RESIDENCIAL.MORADAS@GMAIL.COM</x:v>
      </x:c>
      <x:c r="F317" s="23" t="str">
        <x:v>1129599830</x:v>
      </x:c>
      <x:c r="G317" s="28" t="str">
        <x:v>Destinatário</x:v>
      </x:c>
      <x:c r="H317" s="29" t="n">
        <x:v>46190</x:v>
      </x:c>
      <x:c r="I317" s="29" t="n">
        <x:v>46190</x:v>
      </x:c>
      <x:c r="J317" s="30" t="str"/>
      <x:c r="K317" s="30" t="str"/>
      <x:c r="L317" s="30" t="str"/>
      <x:c r="M317" s="30" t="str"/>
    </x:row>
    <x:row r="318">
      <x:c r="A318" s="27" t="n">
        <x:v>32940</x:v>
      </x:c>
      <x:c r="B318" s="23" t="str">
        <x:v>ESSENCIAL ELETRO LTDA</x:v>
      </x:c>
      <x:c r="C318" s="25" t="str">
        <x:f>"29018486000177"</x:f>
        <x:v>29018486000177</x:v>
      </x:c>
      <x:c r="D318" s="23" t="str">
        <x:v>MATÃO</x:v>
      </x:c>
      <x:c r="E318" s="23" t="str">
        <x:v>ESSENCIALELETRO@GMAIL.COM</x:v>
      </x:c>
      <x:c r="F318" s="23" t="str">
        <x:v>1633834848</x:v>
      </x:c>
      <x:c r="G318" s="28" t="str">
        <x:v>Destinatário</x:v>
      </x:c>
      <x:c r="H318" s="29" t="n">
        <x:v>46190</x:v>
      </x:c>
      <x:c r="I318" s="29" t="n">
        <x:v>46190</x:v>
      </x:c>
      <x:c r="J318" s="30" t="str"/>
      <x:c r="K318" s="30" t="str"/>
      <x:c r="L318" s="30" t="str"/>
      <x:c r="M318" s="30" t="str"/>
    </x:row>
    <x:row r="319">
      <x:c r="A319" s="27" t="n">
        <x:v>32941</x:v>
      </x:c>
      <x:c r="B319" s="23" t="str">
        <x:v>EQUILIBRIO FERTILIZANTES SAO PAULO LTDA</x:v>
      </x:c>
      <x:c r="C319" s="25" t="str">
        <x:f>"56481524000104"</x:f>
        <x:v>56481524000104</x:v>
      </x:c>
      <x:c r="D319" s="23" t="str">
        <x:v>ITAPETININGA</x:v>
      </x:c>
      <x:c r="E319" s="23" t="str">
        <x:v>processos@gestaosolucao.com.br</x:v>
      </x:c>
      <x:c r="F319" s="23" t="str">
        <x:v>3432124645</x:v>
      </x:c>
      <x:c r="G319" s="28" t="str">
        <x:v>Destinatário</x:v>
      </x:c>
      <x:c r="H319" s="29" t="n">
        <x:v>46190</x:v>
      </x:c>
      <x:c r="I319" s="29" t="n">
        <x:v>46190</x:v>
      </x:c>
      <x:c r="J319" s="30" t="str">
        <x:v>CLAYTON MONACO</x:v>
      </x:c>
      <x:c r="K319" s="30" t="str">
        <x:v>ADMINISTRATIVO - NEGOCIA FRETE</x:v>
      </x:c>
      <x:c r="L319" s="30" t="str">
        <x:v>processos@gestaosolucao.com.br</x:v>
      </x:c>
      <x:c r="M319" s="30" t="str">
        <x:v>3432124645</x:v>
      </x:c>
    </x:row>
    <x:row r="320">
      <x:c r="A320" s="27" t="n">
        <x:v>32942</x:v>
      </x:c>
      <x:c r="B320" s="23" t="str">
        <x:v>RICARDO KENDI WATANABE - MATERIAIS DE CONSTRUCAO</x:v>
      </x:c>
      <x:c r="C320" s="25" t="str">
        <x:f>"24569650000110"</x:f>
        <x:v>24569650000110</x:v>
      </x:c>
      <x:c r="D320" s="23" t="str">
        <x:v>BASTOS</x:v>
      </x:c>
      <x:c r="E320" s="23" t="str">
        <x:v>RICARDOKENDI@GMAIL.COM</x:v>
      </x:c>
      <x:c r="F320" s="23" t="str">
        <x:v>1434784268</x:v>
      </x:c>
      <x:c r="G320" s="28" t="str">
        <x:v>Destinatário</x:v>
      </x:c>
      <x:c r="H320" s="29" t="n">
        <x:v>46190</x:v>
      </x:c>
      <x:c r="I320" s="29" t="n">
        <x:v>46190</x:v>
      </x:c>
      <x:c r="J320" s="30" t="str"/>
      <x:c r="K320" s="30" t="str"/>
      <x:c r="L320" s="30" t="str"/>
      <x:c r="M320" s="30" t="str"/>
    </x:row>
    <x:row r="321">
      <x:c r="A321" s="27" t="n">
        <x:v>32953</x:v>
      </x:c>
      <x:c r="B321" s="23" t="str">
        <x:v>SERVICO AUTONOMO DE AGUA E ESGOTOS</x:v>
      </x:c>
      <x:c r="C321" s="25" t="str">
        <x:f>"43467992000174"</x:f>
        <x:v>43467992000174</x:v>
      </x:c>
      <x:c r="D321" s="23" t="str">
        <x:v>AMPARO</x:v>
      </x:c>
      <x:c r="E321" s="23" t="str"/>
      <x:c r="F321" s="23" t="str"/>
      <x:c r="G321" s="28" t="str">
        <x:v>Destinatário</x:v>
      </x:c>
      <x:c r="H321" s="29" t="n">
        <x:v>46193</x:v>
      </x:c>
      <x:c r="I321" s="29" t="n">
        <x:v>46193</x:v>
      </x:c>
      <x:c r="J321" s="30" t="str"/>
      <x:c r="K321" s="30" t="str"/>
      <x:c r="L321" s="30" t="str"/>
      <x:c r="M321" s="30" t="str"/>
    </x:row>
    <x:row r="322">
      <x:c r="A322" s="27" t="n">
        <x:v>32954</x:v>
      </x:c>
      <x:c r="B322" s="23" t="str">
        <x:v>TIAGO - MANGUEIRAS E CONEXOES LTDA</x:v>
      </x:c>
      <x:c r="C322" s="25" t="str">
        <x:f>"20913157000115"</x:f>
        <x:v>20913157000115</x:v>
      </x:c>
      <x:c r="D322" s="23" t="str">
        <x:v>SÃO MANUEL</x:v>
      </x:c>
      <x:c r="E322" s="23" t="str">
        <x:v>JRESCRITORIO@UOL.COM.BR</x:v>
      </x:c>
      <x:c r="F322" s="23" t="str">
        <x:v>1438412749</x:v>
      </x:c>
      <x:c r="G322" s="28" t="str">
        <x:v>Destinatário</x:v>
      </x:c>
      <x:c r="H322" s="29" t="n">
        <x:v>46195</x:v>
      </x:c>
      <x:c r="I322" s="29" t="n">
        <x:v>46195</x:v>
      </x:c>
      <x:c r="J322" s="30" t="str"/>
      <x:c r="K322" s="30" t="str"/>
      <x:c r="L322" s="30" t="str"/>
      <x:c r="M322" s="30" t="str"/>
    </x:row>
    <x:row r="323">
      <x:c r="A323" s="27" t="n">
        <x:v>32955</x:v>
      </x:c>
      <x:c r="B323" s="23" t="str">
        <x:v>DELTA ULTRASSONS IND COMERCIO IMP EXPORTACAO LTDA</x:v>
      </x:c>
      <x:c r="C323" s="25" t="str">
        <x:f>"21918427000143"</x:f>
        <x:v>21918427000143</x:v>
      </x:c>
      <x:c r="D323" s="23" t="str">
        <x:v>DIADEMA</x:v>
      </x:c>
      <x:c r="E323" s="23" t="str">
        <x:v>legal@reggianiassessoria.com</x:v>
      </x:c>
      <x:c r="F323" s="23" t="str">
        <x:v>1142387100</x:v>
      </x:c>
      <x:c r="G323" s="28" t="str">
        <x:v>Destinatário</x:v>
      </x:c>
      <x:c r="H323" s="29" t="n">
        <x:v>46192</x:v>
      </x:c>
      <x:c r="I323" s="29" t="n">
        <x:v>46192</x:v>
      </x:c>
      <x:c r="J323" s="30" t="str"/>
      <x:c r="K323" s="30" t="str"/>
      <x:c r="L323" s="30" t="str"/>
      <x:c r="M323" s="30" t="str"/>
    </x:row>
    <x:row r="324">
      <x:c r="A324" s="27" t="n">
        <x:v>32956</x:v>
      </x:c>
      <x:c r="B324" s="23" t="str">
        <x:v>TUGURIO EGIDE COMERCIAL LTDA</x:v>
      </x:c>
      <x:c r="C324" s="25" t="str">
        <x:f>"46678039000163"</x:f>
        <x:v>46678039000163</x:v>
      </x:c>
      <x:c r="D324" s="23" t="str">
        <x:v>SÃO PAULO</x:v>
      </x:c>
      <x:c r="E324" s="23" t="str">
        <x:v>lmromera@yahoo.com</x:v>
      </x:c>
      <x:c r="F324" s="23" t="str">
        <x:v>1183039552</x:v>
      </x:c>
      <x:c r="G324" s="28" t="str">
        <x:v>Destinatário</x:v>
      </x:c>
      <x:c r="H324" s="29" t="n">
        <x:v>46192</x:v>
      </x:c>
      <x:c r="I324" s="29" t="n">
        <x:v>46192</x:v>
      </x:c>
      <x:c r="J324" s="30" t="str">
        <x:v>LIA MARA</x:v>
      </x:c>
      <x:c r="K324" s="30" t="str">
        <x:v>ADMINISTRATIVO - NEGOCIA FRETE</x:v>
      </x:c>
      <x:c r="L324" s="30" t="str">
        <x:v>lmromera@yahoo.com</x:v>
      </x:c>
      <x:c r="M324" s="30" t="str">
        <x:v>11983039552</x:v>
      </x:c>
    </x:row>
    <x:row r="325">
      <x:c r="A325" s="27" t="n">
        <x:v>32960</x:v>
      </x:c>
      <x:c r="B325" s="23" t="str">
        <x:v>INTERIOR E ARTE DECORACOES LTDA</x:v>
      </x:c>
      <x:c r="C325" s="25" t="str">
        <x:f>"17261459000141"</x:f>
        <x:v>17261459000141</x:v>
      </x:c>
      <x:c r="D325" s="23" t="str">
        <x:v>PEDREIRA</x:v>
      </x:c>
      <x:c r="E325" s="23" t="str"/>
      <x:c r="F325" s="23" t="str"/>
      <x:c r="G325" s="28" t="str">
        <x:v>Destinatário</x:v>
      </x:c>
      <x:c r="H325" s="29" t="n">
        <x:v>46196</x:v>
      </x:c>
      <x:c r="I325" s="29" t="n">
        <x:v>46196</x:v>
      </x:c>
      <x:c r="J325" s="30" t="str"/>
      <x:c r="K325" s="30" t="str"/>
      <x:c r="L325" s="30" t="str"/>
      <x:c r="M325" s="30" t="str"/>
    </x:row>
    <x:row r="326">
      <x:c r="A326" s="27" t="n">
        <x:v>32962</x:v>
      </x:c>
      <x:c r="B326" s="23" t="str">
        <x:v>RIZO E CORREA COMERCIO DE TINTAS E PECAS LTDA</x:v>
      </x:c>
      <x:c r="C326" s="25" t="str">
        <x:f>"65710654000154"</x:f>
        <x:v>65710654000154</x:v>
      </x:c>
      <x:c r="D326" s="23" t="str">
        <x:v>ITÁPOLIS</x:v>
      </x:c>
      <x:c r="E326" s="23" t="str">
        <x:v>CASADASTINTAS.ITA@HOTMAIL.COM</x:v>
      </x:c>
      <x:c r="F326" s="23" t="str">
        <x:v>16997966505</x:v>
      </x:c>
      <x:c r="G326" s="28" t="str">
        <x:v>Destinatário</x:v>
      </x:c>
      <x:c r="H326" s="29" t="n">
        <x:v>46195</x:v>
      </x:c>
      <x:c r="I326" s="29" t="n">
        <x:v>46195</x:v>
      </x:c>
      <x:c r="J326" s="30" t="str"/>
      <x:c r="K326" s="30" t="str"/>
      <x:c r="L326" s="30" t="str"/>
      <x:c r="M326" s="30" t="str"/>
    </x:row>
    <x:row r="327">
      <x:c r="A327" s="27" t="n">
        <x:v>32965</x:v>
      </x:c>
      <x:c r="B327" s="23" t="str">
        <x:v>TECNO TINTAS ESPECIAIS LTDA</x:v>
      </x:c>
      <x:c r="C327" s="25" t="str">
        <x:f>"57677116000187"</x:f>
        <x:v>57677116000187</x:v>
      </x:c>
      <x:c r="D327" s="23" t="str">
        <x:v>ATIBAIA</x:v>
      </x:c>
      <x:c r="E327" s="23" t="str">
        <x:v>centertintasatibaia@gmail.com</x:v>
      </x:c>
      <x:c r="F327" s="23" t="str">
        <x:v>11979562552</x:v>
      </x:c>
      <x:c r="G327" s="28" t="str">
        <x:v>Destinatário</x:v>
      </x:c>
      <x:c r="H327" s="29" t="n">
        <x:v>46195</x:v>
      </x:c>
      <x:c r="I327" s="29" t="n">
        <x:v>46195</x:v>
      </x:c>
      <x:c r="J327" s="30" t="str">
        <x:v>GABRIELA SILVEIRA</x:v>
      </x:c>
      <x:c r="K327" s="30" t="str">
        <x:v>ADMINISTRATIVO - NEGOCIA FRETE</x:v>
      </x:c>
      <x:c r="L327" s="30" t="str">
        <x:v>centertintasatibaia@gmail.com</x:v>
      </x:c>
      <x:c r="M327" s="30" t="str">
        <x:v>11979562552</x:v>
      </x:c>
    </x:row>
    <x:row r="328">
      <x:c r="A328" s="27" t="n">
        <x:v>32966</x:v>
      </x:c>
      <x:c r="B328" s="23" t="str">
        <x:v>FENIX - MATERIAIS ELETRICOS E HIDRAULICOS LTDA</x:v>
      </x:c>
      <x:c r="C328" s="25" t="str">
        <x:f>"58733270000191"</x:f>
        <x:v>58733270000191</x:v>
      </x:c>
      <x:c r="D328" s="23" t="str">
        <x:v>ANDRADINA</x:v>
      </x:c>
      <x:c r="E328" s="23" t="str">
        <x:v>FURNAAZUL@UOL.COM.BR</x:v>
      </x:c>
      <x:c r="F328" s="23" t="str">
        <x:v>1837224719</x:v>
      </x:c>
      <x:c r="G328" s="28" t="str">
        <x:v>Destinatário</x:v>
      </x:c>
      <x:c r="H328" s="29" t="n">
        <x:v>46195</x:v>
      </x:c>
      <x:c r="I328" s="29" t="n">
        <x:v>46195</x:v>
      </x:c>
      <x:c r="J328" s="30" t="str"/>
      <x:c r="K328" s="30" t="str"/>
      <x:c r="L328" s="30" t="str"/>
      <x:c r="M328" s="30" t="str"/>
    </x:row>
    <x:row r="329">
      <x:c r="A329" s="27" t="n">
        <x:v>32968</x:v>
      </x:c>
      <x:c r="B329" s="23" t="str">
        <x:v>INCORPORADORA MF DRUMOND SPE LTDA</x:v>
      </x:c>
      <x:c r="C329" s="25" t="str">
        <x:f>"34874903000113"</x:f>
        <x:v>34874903000113</x:v>
      </x:c>
      <x:c r="D329" s="23" t="str">
        <x:v>MARÍLIA</x:v>
      </x:c>
      <x:c r="E329" s="23" t="str">
        <x:v>joao.gohara@menin.com.br</x:v>
      </x:c>
      <x:c r="F329" s="23" t="str">
        <x:v>14997164646</x:v>
      </x:c>
      <x:c r="G329" s="28" t="str">
        <x:v>Destinatário</x:v>
      </x:c>
      <x:c r="H329" s="29" t="n">
        <x:v>46195</x:v>
      </x:c>
      <x:c r="I329" s="29" t="n">
        <x:v>46195</x:v>
      </x:c>
      <x:c r="J329" s="30" t="str">
        <x:v>FRANCISCO ALBERTO</x:v>
      </x:c>
      <x:c r="K329" s="30" t="str">
        <x:v>ADMINISTRATIVO - NEGOCIA FRETE</x:v>
      </x:c>
      <x:c r="L329" s="30" t="str">
        <x:v>joao.gohara@menin.com.br</x:v>
      </x:c>
      <x:c r="M329" s="30" t="str">
        <x:v>14997164646</x:v>
      </x:c>
    </x:row>
    <x:row r="330">
      <x:c r="A330" s="27" t="n">
        <x:v>32970</x:v>
      </x:c>
      <x:c r="B330" s="23" t="str">
        <x:v>IMPER SILVA IMPERMEABILIZACOES LTDA</x:v>
      </x:c>
      <x:c r="C330" s="25" t="str">
        <x:f>"29768244000109"</x:f>
        <x:v>29768244000109</x:v>
      </x:c>
      <x:c r="D330" s="23" t="str">
        <x:v>LENÇÓIS PAULISTA</x:v>
      </x:c>
      <x:c r="E330" s="23" t="str">
        <x:v>IMPERSILVA@GMAIL.COM</x:v>
      </x:c>
      <x:c r="F330" s="23" t="str">
        <x:v>1434361935</x:v>
      </x:c>
      <x:c r="G330" s="28" t="str">
        <x:v>Destinatário</x:v>
      </x:c>
      <x:c r="H330" s="29" t="n">
        <x:v>46199</x:v>
      </x:c>
      <x:c r="I330" s="29" t="n">
        <x:v>46199</x:v>
      </x:c>
      <x:c r="J330" s="30" t="str"/>
      <x:c r="K330" s="30" t="str"/>
      <x:c r="L330" s="30" t="str"/>
      <x:c r="M330" s="30" t="str"/>
    </x:row>
    <x:row r="331">
      <x:c r="A331" s="27" t="n">
        <x:v>32971</x:v>
      </x:c>
      <x:c r="B331" s="23" t="str">
        <x:v>REGIONAL TELHAS IND E COM DE PRO SIDERURGICOS LTDA</x:v>
      </x:c>
      <x:c r="C331" s="25" t="str">
        <x:f>"01332001000104"</x:f>
        <x:v>01332001000104</x:v>
      </x:c>
      <x:c r="D331" s="23" t="str">
        <x:v>ASSIS</x:v>
      </x:c>
      <x:c r="E331" s="23" t="str">
        <x:v>REGIONALTELHAS@GMAIL.COM</x:v>
      </x:c>
      <x:c r="F331" s="23" t="str"/>
      <x:c r="G331" s="28" t="str">
        <x:v>Destinatário</x:v>
      </x:c>
      <x:c r="H331" s="29" t="n">
        <x:v>46199</x:v>
      </x:c>
      <x:c r="I331" s="29" t="n">
        <x:v>46199</x:v>
      </x:c>
      <x:c r="J331" s="30" t="str"/>
      <x:c r="K331" s="30" t="str"/>
      <x:c r="L331" s="30" t="str"/>
      <x:c r="M331" s="30" t="str"/>
    </x:row>
    <x:row r="332">
      <x:c r="A332" s="27" t="n">
        <x:v>32972</x:v>
      </x:c>
      <x:c r="B332" s="23" t="str">
        <x:v>EDSON THIAGO VIEIRA HANADA</x:v>
      </x:c>
      <x:c r="C332" s="25" t="str">
        <x:f>"66600561000130"</x:f>
        <x:v>66600561000130</x:v>
      </x:c>
      <x:c r="D332" s="23" t="str">
        <x:v>MIRANDÓPOLIS</x:v>
      </x:c>
      <x:c r="E332" s="23" t="str">
        <x:v>EDSON.THIAGO@GMAIL.COM</x:v>
      </x:c>
      <x:c r="F332" s="23" t="str">
        <x:v>18998160260</x:v>
      </x:c>
      <x:c r="G332" s="28" t="str">
        <x:v>Destinatário</x:v>
      </x:c>
      <x:c r="H332" s="29" t="n">
        <x:v>46195</x:v>
      </x:c>
      <x:c r="I332" s="29" t="n">
        <x:v>46195</x:v>
      </x:c>
      <x:c r="J332" s="30" t="str"/>
      <x:c r="K332" s="30" t="str"/>
      <x:c r="L332" s="30" t="str"/>
      <x:c r="M332" s="30" t="str"/>
    </x:row>
    <x:row r="333">
      <x:c r="A333" s="27" t="n">
        <x:v>32977</x:v>
      </x:c>
      <x:c r="B333" s="23" t="str">
        <x:v>FIBRAW EQUIPAMENTOS EM FIBRA DE VIDRO LTDA</x:v>
      </x:c>
      <x:c r="C333" s="25" t="str">
        <x:f>"48693534000177"</x:f>
        <x:v>48693534000177</x:v>
      </x:c>
      <x:c r="D333" s="23" t="str">
        <x:v>SERTÃOZINHO</x:v>
      </x:c>
      <x:c r="E333" s="23" t="str">
        <x:v>contato@ideqcontabil.com.br</x:v>
      </x:c>
      <x:c r="F333" s="23" t="str">
        <x:v>1632354062</x:v>
      </x:c>
      <x:c r="G333" s="28" t="str">
        <x:v>Destinatário</x:v>
      </x:c>
      <x:c r="H333" s="29" t="n">
        <x:v>46198</x:v>
      </x:c>
      <x:c r="I333" s="29" t="n">
        <x:v>46198</x:v>
      </x:c>
      <x:c r="J333" s="30" t="str">
        <x:v>JOAO</x:v>
      </x:c>
      <x:c r="K333" s="30" t="str">
        <x:v>COMPRAS</x:v>
      </x:c>
      <x:c r="L333" s="30" t="str">
        <x:v>contato@ideqcontabil.com.br</x:v>
      </x:c>
      <x:c r="M333" s="30" t="str">
        <x:v>1632354062</x:v>
      </x:c>
    </x:row>
    <x:row r="334">
      <x:c r="A334" s="27" t="n">
        <x:v>32978</x:v>
      </x:c>
      <x:c r="B334" s="23" t="str">
        <x:v>PROFUSAO PRODUTOS ELETRO-ELETRONICOS LTDA</x:v>
      </x:c>
      <x:c r="C334" s="25" t="str">
        <x:f>"00283166000162"</x:f>
        <x:v>00283166000162</x:v>
      </x:c>
      <x:c r="D334" s="23" t="str">
        <x:v>SÃO PAULO</x:v>
      </x:c>
      <x:c r="E334" s="23" t="str"/>
      <x:c r="F334" s="23" t="str">
        <x:v>11974210816</x:v>
      </x:c>
      <x:c r="G334" s="28" t="str">
        <x:v>Destinatário</x:v>
      </x:c>
      <x:c r="H334" s="29" t="n">
        <x:v>46216</x:v>
      </x:c>
      <x:c r="I334" s="29" t="n">
        <x:v>46196</x:v>
      </x:c>
      <x:c r="J334" s="30" t="str">
        <x:v>COMBRANCA.RP@SALOME.COM.BR</x:v>
      </x:c>
      <x:c r="K334" s="30" t="str">
        <x:v>COMERCIAL</x:v>
      </x:c>
      <x:c r="L334" s="30" t="str">
        <x:v>cobrancavp@gmal.com</x:v>
      </x:c>
      <x:c r="M334" s="30" t="str">
        <x:v>11974210816</x:v>
      </x:c>
    </x:row>
    <x:row r="335">
      <x:c r="A335" s="27" t="n">
        <x:v>32987</x:v>
      </x:c>
      <x:c r="B335" s="23" t="str">
        <x:v>FATIMA FERREIRA DE SOUZA LTDA</x:v>
      </x:c>
      <x:c r="C335" s="25" t="str">
        <x:f>"66195050000180"</x:f>
        <x:v>66195050000180</x:v>
      </x:c>
      <x:c r="D335" s="23" t="str">
        <x:v>PRESIDENTE PRUDENTE</x:v>
      </x:c>
      <x:c r="E335" s="23" t="str">
        <x:v>mixtintasloja@gmail.com</x:v>
      </x:c>
      <x:c r="F335" s="23" t="str">
        <x:v>1839288074</x:v>
      </x:c>
      <x:c r="G335" s="28" t="str">
        <x:v>Destinatário</x:v>
      </x:c>
      <x:c r="H335" s="29" t="n">
        <x:v>46196</x:v>
      </x:c>
      <x:c r="I335" s="29" t="n">
        <x:v>46196</x:v>
      </x:c>
      <x:c r="J335" s="30" t="str">
        <x:v>FATIMA FERREIRA</x:v>
      </x:c>
      <x:c r="K335" s="30" t="str">
        <x:v>ADMINISTRATIVO - NEGOCIA FRETE</x:v>
      </x:c>
      <x:c r="L335" s="30" t="str">
        <x:v>mixtintasloja@gmail.com</x:v>
      </x:c>
      <x:c r="M335" s="30" t="str">
        <x:v>1839288074</x:v>
      </x:c>
    </x:row>
    <x:row r="336">
      <x:c r="A336" s="27" t="n">
        <x:v>32989</x:v>
      </x:c>
      <x:c r="B336" s="23" t="str">
        <x:v>60.391.853 JEFFERSON BARBOZA VALIM</x:v>
      </x:c>
      <x:c r="C336" s="25" t="str">
        <x:f>"60391853000123"</x:f>
        <x:v>60391853000123</x:v>
      </x:c>
      <x:c r="D336" s="23" t="str">
        <x:v>AGUAÍ</x:v>
      </x:c>
      <x:c r="E336" s="23" t="str">
        <x:v>JEFERSONB.V.12.123@GMAIL.COM</x:v>
      </x:c>
      <x:c r="F336" s="23" t="str">
        <x:v>1993305769</x:v>
      </x:c>
      <x:c r="G336" s="28" t="str">
        <x:v>Destinatário</x:v>
      </x:c>
      <x:c r="H336" s="29" t="n">
        <x:v>46197</x:v>
      </x:c>
      <x:c r="I336" s="29" t="n">
        <x:v>46197</x:v>
      </x:c>
      <x:c r="J336" s="30" t="str"/>
      <x:c r="K336" s="30" t="str"/>
      <x:c r="L336" s="30" t="str"/>
      <x:c r="M336" s="30" t="str"/>
    </x:row>
    <x:row r="337">
      <x:c r="A337" s="27" t="n">
        <x:v>32991</x:v>
      </x:c>
      <x:c r="B337" s="23" t="str">
        <x:v>UNIMED NORTE PAULISTA - COOPERATIVA DE TRABALHO MEDICO</x:v>
      </x:c>
      <x:c r="C337" s="25" t="str">
        <x:f>"69087922000184"</x:f>
        <x:v>69087922000184</x:v>
      </x:c>
      <x:c r="D337" s="23" t="str">
        <x:v>ITUVERAVA</x:v>
      </x:c>
      <x:c r="E337" s="23" t="str">
        <x:v>contabilidade@unimedituverava.com.br</x:v>
      </x:c>
      <x:c r="F337" s="23" t="str">
        <x:v>1638303000</x:v>
      </x:c>
      <x:c r="G337" s="28" t="str">
        <x:v>Destinatário</x:v>
      </x:c>
      <x:c r="H337" s="29" t="n">
        <x:v>46197</x:v>
      </x:c>
      <x:c r="I337" s="29" t="n">
        <x:v>46197</x:v>
      </x:c>
      <x:c r="J337" s="30" t="str">
        <x:v>BENITO MORGADO</x:v>
      </x:c>
      <x:c r="K337" s="30" t="str">
        <x:v>ADMINISTRATIVO - NEGOCIA FRETE</x:v>
      </x:c>
      <x:c r="L337" s="30" t="str">
        <x:v>contabilidade@unimedituverava.com.br</x:v>
      </x:c>
      <x:c r="M337" s="30" t="str">
        <x:v>1638303000</x:v>
      </x:c>
    </x:row>
    <x:row r="338">
      <x:c r="A338" s="27" t="n">
        <x:v>32992</x:v>
      </x:c>
      <x:c r="B338" s="23" t="str">
        <x:v>PINTURAS SAO LUIZ ABC LTDA</x:v>
      </x:c>
      <x:c r="C338" s="25" t="str">
        <x:f>"15286207000141"</x:f>
        <x:v>15286207000141</x:v>
      </x:c>
      <x:c r="D338" s="23" t="str">
        <x:v>SANTO ANDRÉ</x:v>
      </x:c>
      <x:c r="E338" s="23" t="str">
        <x:v>PINTURAS.SAOLUIZ@GMAIL.COM</x:v>
      </x:c>
      <x:c r="F338" s="23" t="str">
        <x:v>11962758450</x:v>
      </x:c>
      <x:c r="G338" s="28" t="str">
        <x:v>Destinatário</x:v>
      </x:c>
      <x:c r="H338" s="29" t="n">
        <x:v>46197</x:v>
      </x:c>
      <x:c r="I338" s="29" t="n">
        <x:v>46197</x:v>
      </x:c>
      <x:c r="J338" s="30" t="str"/>
      <x:c r="K338" s="30" t="str"/>
      <x:c r="L338" s="30" t="str"/>
      <x:c r="M338" s="30" t="str"/>
    </x:row>
    <x:row r="339">
      <x:c r="A339" s="27" t="n">
        <x:v>32993</x:v>
      </x:c>
      <x:c r="B339" s="23" t="str">
        <x:v>DFD CONSTRUCOES REFORMAS E PINTURAS LTDA</x:v>
      </x:c>
      <x:c r="C339" s="25" t="str">
        <x:f>"13888286000135"</x:f>
        <x:v>13888286000135</x:v>
      </x:c>
      <x:c r="D339" s="23" t="str">
        <x:v>SÃO PAULO</x:v>
      </x:c>
      <x:c r="E339" s="23" t="str">
        <x:v>DFDCONSTRU@GMAIL.COM</x:v>
      </x:c>
      <x:c r="F339" s="23" t="str">
        <x:v>11965728450</x:v>
      </x:c>
      <x:c r="G339" s="28" t="str">
        <x:v>Destinatário</x:v>
      </x:c>
      <x:c r="H339" s="29" t="n">
        <x:v>46197</x:v>
      </x:c>
      <x:c r="I339" s="29" t="n">
        <x:v>46197</x:v>
      </x:c>
      <x:c r="J339" s="30" t="str"/>
      <x:c r="K339" s="30" t="str"/>
      <x:c r="L339" s="30" t="str"/>
      <x:c r="M339" s="30" t="str"/>
    </x:row>
    <x:row r="340">
      <x:c r="A340" s="27" t="n">
        <x:v>32994</x:v>
      </x:c>
      <x:c r="B340" s="23" t="str">
        <x:v>INDIANOPOLIS ACOCE INCORPORACAO LTDA</x:v>
      </x:c>
      <x:c r="C340" s="25" t="str">
        <x:f>"35750409000100"</x:f>
        <x:v>35750409000100</x:v>
      </x:c>
      <x:c r="D340" s="23" t="str">
        <x:v>SÃO PAULO</x:v>
      </x:c>
      <x:c r="E340" s="23" t="str">
        <x:v>IDIANOPOLIS@GMAIL.COM</x:v>
      </x:c>
      <x:c r="F340" s="23" t="str">
        <x:v>11965728450</x:v>
      </x:c>
      <x:c r="G340" s="28" t="str">
        <x:v>Destinatário</x:v>
      </x:c>
      <x:c r="H340" s="29" t="n">
        <x:v>46197</x:v>
      </x:c>
      <x:c r="I340" s="29" t="n">
        <x:v>46197</x:v>
      </x:c>
      <x:c r="J340" s="30" t="str"/>
      <x:c r="K340" s="30" t="str"/>
      <x:c r="L340" s="30" t="str"/>
      <x:c r="M340" s="30" t="str"/>
    </x:row>
    <x:row r="341">
      <x:c r="A341" s="27" t="n">
        <x:v>32997</x:v>
      </x:c>
      <x:c r="B341" s="23" t="str">
        <x:v>UNIAO AGROINDUSTRIAL LTDA</x:v>
      </x:c>
      <x:c r="C341" s="25" t="str">
        <x:f>"07750075000805"</x:f>
        <x:v>07750075000805</x:v>
      </x:c>
      <x:c r="D341" s="23" t="str">
        <x:v>CHARQUEADA</x:v>
      </x:c>
      <x:c r="E341" s="23" t="str">
        <x:v>contabilidade@uniaoavicola.ind.br</x:v>
      </x:c>
      <x:c r="F341" s="23" t="str">
        <x:v>6533133900</x:v>
      </x:c>
      <x:c r="G341" s="28" t="str">
        <x:v>Destinatário</x:v>
      </x:c>
      <x:c r="H341" s="29" t="n">
        <x:v>46198</x:v>
      </x:c>
      <x:c r="I341" s="29" t="n">
        <x:v>46198</x:v>
      </x:c>
      <x:c r="J341" s="30" t="str">
        <x:v>JOSE APARECIDO</x:v>
      </x:c>
      <x:c r="K341" s="30" t="str">
        <x:v>ADMINISTRATIVO - NEGOCIA FRETE</x:v>
      </x:c>
      <x:c r="L341" s="30" t="str">
        <x:v>contabilidade@uniaoavicola.ind.br</x:v>
      </x:c>
      <x:c r="M341" s="30" t="str">
        <x:v>6533133900</x:v>
      </x:c>
    </x:row>
    <x:row r="342">
      <x:c r="A342" s="27" t="n">
        <x:v>33001</x:v>
      </x:c>
      <x:c r="B342" s="23" t="str">
        <x:v>ASSOCIACAO BENEFICENTE HOSPITAL UNIVERSITARIO</x:v>
      </x:c>
      <x:c r="C342" s="25" t="str">
        <x:f>"09528436000203"</x:f>
        <x:v>09528436000203</x:v>
      </x:c>
      <x:c r="D342" s="23" t="str">
        <x:v>MARÍLIA</x:v>
      </x:c>
      <x:c r="E342" s="23" t="str">
        <x:v>amanda.frachia@abhu.com.br</x:v>
      </x:c>
      <x:c r="F342" s="23" t="str">
        <x:v>1421054118</x:v>
      </x:c>
      <x:c r="G342" s="28" t="str">
        <x:v>Destinatário</x:v>
      </x:c>
      <x:c r="H342" s="29" t="n">
        <x:v>46198</x:v>
      </x:c>
      <x:c r="I342" s="29" t="n">
        <x:v>46198</x:v>
      </x:c>
      <x:c r="J342" s="30" t="str">
        <x:v>AMANDA</x:v>
      </x:c>
      <x:c r="K342" s="30" t="str">
        <x:v>ADMINISTRATIVO - NEGOCIA FRETE</x:v>
      </x:c>
      <x:c r="L342" s="30" t="str">
        <x:v>amanda.frachia@abhu.com.br</x:v>
      </x:c>
      <x:c r="M342" s="30" t="str">
        <x:v>1421054118</x:v>
      </x:c>
    </x:row>
    <x:row r="343">
      <x:c r="A343" s="27" t="n">
        <x:v>33002</x:v>
      </x:c>
      <x:c r="B343" s="23" t="str">
        <x:v>IVEMAYA EMPREENDIMENTOS IMOB NEG PARTICIPACOES LTDA</x:v>
      </x:c>
      <x:c r="C343" s="25" t="str">
        <x:f>"13816068000195"</x:f>
        <x:v>13816068000195</x:v>
      </x:c>
      <x:c r="D343" s="23" t="str">
        <x:v>FRANCA</x:v>
      </x:c>
      <x:c r="E343" s="23" t="str"/>
      <x:c r="F343" s="23" t="str">
        <x:v>11937791960</x:v>
      </x:c>
      <x:c r="G343" s="28" t="str">
        <x:v>Destinatário</x:v>
      </x:c>
      <x:c r="H343" s="29" t="n">
        <x:v>46198</x:v>
      </x:c>
      <x:c r="I343" s="29" t="n">
        <x:v>46198</x:v>
      </x:c>
      <x:c r="J343" s="30" t="str"/>
      <x:c r="K343" s="30" t="str"/>
      <x:c r="L343" s="30" t="str"/>
      <x:c r="M343" s="30" t="str"/>
    </x:row>
    <x:row r="344">
      <x:c r="A344" s="27" t="n">
        <x:v>33003</x:v>
      </x:c>
      <x:c r="B344" s="23" t="str">
        <x:v>JOSE CARLOS DA SILVA PETRONILHO</x:v>
      </x:c>
      <x:c r="C344" s="25" t="str">
        <x:f>"45619576000170"</x:f>
        <x:v>45619576000170</x:v>
      </x:c>
      <x:c r="D344" s="23" t="str">
        <x:v>MIRASSOL</x:v>
      </x:c>
      <x:c r="E344" s="23" t="str">
        <x:v>FORTEZMATCONSTRUCAO@GMAIL.COM</x:v>
      </x:c>
      <x:c r="F344" s="23" t="str">
        <x:v>17999159080</x:v>
      </x:c>
      <x:c r="G344" s="28" t="str">
        <x:v>Destinatário</x:v>
      </x:c>
      <x:c r="H344" s="29" t="n">
        <x:v>46198</x:v>
      </x:c>
      <x:c r="I344" s="29" t="n">
        <x:v>46198</x:v>
      </x:c>
      <x:c r="J344" s="30" t="str"/>
      <x:c r="K344" s="30" t="str"/>
      <x:c r="L344" s="30" t="str"/>
      <x:c r="M344" s="30" t="str"/>
    </x:row>
    <x:row r="345">
      <x:c r="A345" s="27" t="n">
        <x:v>33005</x:v>
      </x:c>
      <x:c r="B345" s="23" t="str">
        <x:v>SANTOS &amp; SOUSA JV POSTO DE MOLAS LTDA</x:v>
      </x:c>
      <x:c r="C345" s="25" t="str">
        <x:f>"38830443000182"</x:f>
        <x:v>38830443000182</x:v>
      </x:c>
      <x:c r="D345" s="23" t="str">
        <x:v>PONTAL</x:v>
      </x:c>
      <x:c r="E345" s="23" t="str"/>
      <x:c r="F345" s="23" t="str"/>
      <x:c r="G345" s="28" t="str">
        <x:v>Destinatário</x:v>
      </x:c>
      <x:c r="H345" s="29" t="n">
        <x:v>46199</x:v>
      </x:c>
      <x:c r="I345" s="29" t="n">
        <x:v>46199</x:v>
      </x:c>
      <x:c r="J345" s="30" t="str"/>
      <x:c r="K345" s="30" t="str"/>
      <x:c r="L345" s="30" t="str"/>
      <x:c r="M345" s="30" t="str"/>
    </x:row>
    <x:row r="346">
      <x:c r="A346" s="27" t="n">
        <x:v>33008</x:v>
      </x:c>
      <x:c r="B346" s="23" t="str">
        <x:v>VALWATT ELETRICA E HIDRAULICA LTDA</x:v>
      </x:c>
      <x:c r="C346" s="25" t="str">
        <x:f>"66567025000180"</x:f>
        <x:v>66567025000180</x:v>
      </x:c>
      <x:c r="D346" s="23" t="str">
        <x:v>VALINHOS</x:v>
      </x:c>
      <x:c r="E346" s="23" t="str">
        <x:v>PONTUS@PONTUSCONTABIL.COM.BR</x:v>
      </x:c>
      <x:c r="F346" s="23" t="str">
        <x:v>1938713445</x:v>
      </x:c>
      <x:c r="G346" s="28" t="str">
        <x:v>Destinatário</x:v>
      </x:c>
      <x:c r="H346" s="29" t="n">
        <x:v>46199</x:v>
      </x:c>
      <x:c r="I346" s="29" t="n">
        <x:v>46199</x:v>
      </x:c>
      <x:c r="J346" s="30" t="str"/>
      <x:c r="K346" s="30" t="str"/>
      <x:c r="L346" s="30" t="str"/>
      <x:c r="M346" s="30" t="str"/>
    </x:row>
    <x:row r="347">
      <x:c r="A347" s="27" t="n">
        <x:v>33012</x:v>
      </x:c>
      <x:c r="B347" s="23" t="str">
        <x:v>INJEPEL - COMERCIO DE AUTO PECAS LTDA</x:v>
      </x:c>
      <x:c r="C347" s="25" t="str">
        <x:f>"05217125000191"</x:f>
        <x:v>05217125000191</x:v>
      </x:c>
      <x:c r="D347" s="23" t="str">
        <x:v>RIBEIRÃO PRETO</x:v>
      </x:c>
      <x:c r="E347" s="23" t="str">
        <x:v>nfe@injepel.com.br</x:v>
      </x:c>
      <x:c r="F347" s="23" t="str">
        <x:v>1621117411</x:v>
      </x:c>
      <x:c r="G347" s="28" t="str">
        <x:v>Destinatário</x:v>
      </x:c>
      <x:c r="H347" s="29" t="n">
        <x:v>46200</x:v>
      </x:c>
      <x:c r="I347" s="29" t="n">
        <x:v>46200</x:v>
      </x:c>
      <x:c r="J347" s="30" t="str">
        <x:v>PROPRIETARIO</x:v>
      </x:c>
      <x:c r="K347" s="30" t="str">
        <x:v>COMERCIAL</x:v>
      </x:c>
      <x:c r="L347" s="30" t="str">
        <x:v>nfe@injepel.com.br</x:v>
      </x:c>
      <x:c r="M347" s="30" t="str">
        <x:v>1621117411</x:v>
      </x:c>
    </x:row>
    <x:row r="348">
      <x:c r="A348" s="27" t="n">
        <x:v>33014</x:v>
      </x:c>
      <x:c r="B348" s="23" t="str">
        <x:v>CATAGUA 17 EMPREENDIMENTO IMOBILIARIO SPE LTDA</x:v>
      </x:c>
      <x:c r="C348" s="25" t="str">
        <x:f>"42548245000106"</x:f>
        <x:v>42548245000106</x:v>
      </x:c>
      <x:c r="D348" s="23" t="str">
        <x:v>PIRACICABA</x:v>
      </x:c>
      <x:c r="E348" s="23" t="str">
        <x:v>catagua@gmail.com</x:v>
      </x:c>
      <x:c r="F348" s="23" t="str">
        <x:v>19999042184</x:v>
      </x:c>
      <x:c r="G348" s="28" t="str">
        <x:v>Destinatário</x:v>
      </x:c>
      <x:c r="H348" s="29" t="n">
        <x:v>46202</x:v>
      </x:c>
      <x:c r="I348" s="29" t="n">
        <x:v>46202</x:v>
      </x:c>
      <x:c r="J348" s="30" t="str"/>
      <x:c r="K348" s="30" t="str"/>
      <x:c r="L348" s="30" t="str"/>
      <x:c r="M348" s="30" t="str"/>
    </x:row>
    <x:row r="349">
      <x:c r="A349" s="27" t="n">
        <x:v>33015</x:v>
      </x:c>
      <x:c r="B349" s="23" t="str">
        <x:v>FORTALTOOLS DISTRIBUIDORA LTDA</x:v>
      </x:c>
      <x:c r="C349" s="25" t="str">
        <x:f>"41034801000155"</x:f>
        <x:v>41034801000155</x:v>
      </x:c>
      <x:c r="D349" s="23" t="str">
        <x:v>MONTE MOR</x:v>
      </x:c>
      <x:c r="E349" s="23" t="str">
        <x:v>fortaltools@gmail.com</x:v>
      </x:c>
      <x:c r="F349" s="23" t="str">
        <x:v>1940421102</x:v>
      </x:c>
      <x:c r="G349" s="28" t="str">
        <x:v>Destinatário</x:v>
      </x:c>
      <x:c r="H349" s="29" t="n">
        <x:v>46202</x:v>
      </x:c>
      <x:c r="I349" s="29" t="n">
        <x:v>46202</x:v>
      </x:c>
      <x:c r="J349" s="30" t="str"/>
      <x:c r="K349" s="30" t="str"/>
      <x:c r="L349" s="30" t="str"/>
      <x:c r="M349" s="30" t="str"/>
    </x:row>
    <x:row r="350">
      <x:c r="A350" s="27" t="n">
        <x:v>33017</x:v>
      </x:c>
      <x:c r="B350" s="23" t="str">
        <x:v>XADREZ COMERCIO DE TINTAS E PIGMENTOS LTDA</x:v>
      </x:c>
      <x:c r="C350" s="25" t="str">
        <x:f>"00514250000140"</x:f>
        <x:v>00514250000140</x:v>
      </x:c>
      <x:c r="D350" s="23" t="str">
        <x:v>FERRAZ DE VASCONCELOS</x:v>
      </x:c>
      <x:c r="E350" s="23" t="str">
        <x:v>xadrezferraz@yahoo.com.br</x:v>
      </x:c>
      <x:c r="F350" s="23" t="str">
        <x:v>1146781655</x:v>
      </x:c>
      <x:c r="G350" s="28" t="str">
        <x:v>Destinatário</x:v>
      </x:c>
      <x:c r="H350" s="29" t="n">
        <x:v>46202</x:v>
      </x:c>
      <x:c r="I350" s="29" t="n">
        <x:v>46202</x:v>
      </x:c>
      <x:c r="J350" s="30" t="str">
        <x:v>MAIRA HEBLING</x:v>
      </x:c>
      <x:c r="K350" s="30" t="str">
        <x:v>ADMINISTRATIVO - NEGOCIA FRETE</x:v>
      </x:c>
      <x:c r="L350" s="30" t="str">
        <x:v>xadrezferraz@yahoo.com.br</x:v>
      </x:c>
      <x:c r="M350" s="30" t="str">
        <x:v>1146781655</x:v>
      </x:c>
    </x:row>
    <x:row r="351">
      <x:c r="A351" s="27" t="n">
        <x:v>33018</x:v>
      </x:c>
      <x:c r="B351" s="23" t="str">
        <x:v>CARLOS VITOR BAQUIAO MARTINS LTDA</x:v>
      </x:c>
      <x:c r="C351" s="25" t="str">
        <x:f>"74638156000724"</x:f>
        <x:v>74638156000724</x:v>
      </x:c>
      <x:c r="D351" s="23" t="str">
        <x:v>ARARAS</x:v>
      </x:c>
      <x:c r="E351" s="23" t="str">
        <x:v>adm@minastintas.com.br</x:v>
      </x:c>
      <x:c r="F351" s="23" t="str">
        <x:v>1935447577</x:v>
      </x:c>
      <x:c r="G351" s="28" t="str">
        <x:v>Destinatário</x:v>
      </x:c>
      <x:c r="H351" s="29" t="n">
        <x:v>46202</x:v>
      </x:c>
      <x:c r="I351" s="29" t="n">
        <x:v>46202</x:v>
      </x:c>
      <x:c r="J351" s="30" t="str">
        <x:v>CARLOS</x:v>
      </x:c>
      <x:c r="K351" s="30" t="str">
        <x:v>ADMINISTRATIVO - NEGOCIA FRETE</x:v>
      </x:c>
      <x:c r="L351" s="30" t="str">
        <x:v>adm@minastintas.com.br</x:v>
      </x:c>
      <x:c r="M351" s="30" t="str">
        <x:v>1935447577</x:v>
      </x:c>
    </x:row>
    <x:row r="352">
      <x:c r="A352" s="27" t="n">
        <x:v>33020</x:v>
      </x:c>
      <x:c r="B352" s="23" t="str">
        <x:v>POTENSAL NUTRICAO E SAUDE ANIMAL LTDA</x:v>
      </x:c>
      <x:c r="C352" s="25" t="str">
        <x:f>"05068207000111"</x:f>
        <x:v>05068207000111</x:v>
      </x:c>
      <x:c r="D352" s="23" t="str">
        <x:v>SANTO ANASTÁCIO</x:v>
      </x:c>
      <x:c r="E352" s="23" t="str">
        <x:v>POTENSALNUTRI@GMAIL.COM</x:v>
      </x:c>
      <x:c r="F352" s="23" t="str">
        <x:v>11965728450</x:v>
      </x:c>
      <x:c r="G352" s="28" t="str">
        <x:v>Destinatário</x:v>
      </x:c>
      <x:c r="H352" s="29" t="n">
        <x:v>46227</x:v>
      </x:c>
      <x:c r="I352" s="29" t="n">
        <x:v>46227</x:v>
      </x:c>
      <x:c r="J352" s="30" t="str"/>
      <x:c r="K352" s="30" t="str"/>
      <x:c r="L352" s="30" t="str"/>
      <x:c r="M352" s="30" t="str"/>
    </x:row>
    <x:row r="353">
      <x:c r="A353" s="27" t="n">
        <x:v>33024</x:v>
      </x:c>
      <x:c r="B353" s="23" t="str">
        <x:v>MADESIL INDUSTRIA E COMERCIO DE MOVEIS LTDA</x:v>
      </x:c>
      <x:c r="C353" s="25" t="str">
        <x:f>"13632555000106"</x:f>
        <x:v>13632555000106</x:v>
      </x:c>
      <x:c r="D353" s="23" t="str">
        <x:v>FERNÃO</x:v>
      </x:c>
      <x:c r="E353" s="23" t="str">
        <x:v>madesil@madesilmoveis.com.br</x:v>
      </x:c>
      <x:c r="F353" s="23" t="str">
        <x:v>1432741861</x:v>
      </x:c>
      <x:c r="G353" s="28" t="str">
        <x:v>Destinatário</x:v>
      </x:c>
      <x:c r="H353" s="29" t="n">
        <x:v>46203</x:v>
      </x:c>
      <x:c r="I353" s="29" t="n">
        <x:v>46204</x:v>
      </x:c>
      <x:c r="J353" s="30" t="str">
        <x:v>SILVIO</x:v>
      </x:c>
      <x:c r="K353" s="30" t="str">
        <x:v>ADMINISTRATIVO - NEGOCIA FRETE</x:v>
      </x:c>
      <x:c r="L353" s="30" t="str">
        <x:v>madesil@madesilmoveis.com.br</x:v>
      </x:c>
      <x:c r="M353" s="30" t="str">
        <x:v>1432741861</x:v>
      </x:c>
    </x:row>
    <x:row r="354">
      <x:c r="A354" s="27" t="n">
        <x:v>33030</x:v>
      </x:c>
      <x:c r="B354" s="23" t="str">
        <x:v>B. M. INDUSTRIA E COMERCIO DE TINTAS E REVESTIMENTOS LTDA</x:v>
      </x:c>
      <x:c r="C354" s="25" t="str">
        <x:f>"49724855000154"</x:f>
        <x:v>49724855000154</x:v>
      </x:c>
      <x:c r="D354" s="23" t="str">
        <x:v>JOSÉ BONIFÁCIO</x:v>
      </x:c>
      <x:c r="E354" s="23" t="str">
        <x:v>BMINDUSTRIAS@GMAIL.COM</x:v>
      </x:c>
      <x:c r="F354" s="23" t="str">
        <x:v>1732455156</x:v>
      </x:c>
      <x:c r="G354" s="28" t="str">
        <x:v>Destinatário</x:v>
      </x:c>
      <x:c r="H354" s="29" t="n">
        <x:v>46204</x:v>
      </x:c>
      <x:c r="I354" s="29" t="n">
        <x:v>46204</x:v>
      </x:c>
      <x:c r="J354" s="30" t="str"/>
      <x:c r="K354" s="30" t="str"/>
      <x:c r="L354" s="30" t="str"/>
      <x:c r="M354" s="30" t="str"/>
    </x:row>
    <x:row r="355">
      <x:c r="A355" s="27" t="n">
        <x:v>33034</x:v>
      </x:c>
      <x:c r="B355" s="23" t="str">
        <x:v>IRMANDADE DE MISERICORDIA DO JAHU</x:v>
      </x:c>
      <x:c r="C355" s="25" t="str">
        <x:f>"50753631000150"</x:f>
        <x:v>50753631000150</x:v>
      </x:c>
      <x:c r="D355" s="23" t="str">
        <x:v>JAÚ</x:v>
      </x:c>
      <x:c r="E355" s="23" t="str">
        <x:v>tatiane@santacasajahu.com.br</x:v>
      </x:c>
      <x:c r="F355" s="23" t="str">
        <x:v>14997453371</x:v>
      </x:c>
      <x:c r="G355" s="28" t="str">
        <x:v>Destinatário</x:v>
      </x:c>
      <x:c r="H355" s="29" t="n">
        <x:v>46205</x:v>
      </x:c>
      <x:c r="I355" s="29" t="n">
        <x:v>46205</x:v>
      </x:c>
      <x:c r="J355" s="30" t="str">
        <x:v>TATIANE</x:v>
      </x:c>
      <x:c r="K355" s="30" t="str">
        <x:v>ADMINISTRATIVO - NEGOCIA FRETE</x:v>
      </x:c>
      <x:c r="L355" s="30" t="str">
        <x:v>tatiane@santacasajahu.com.br</x:v>
      </x:c>
      <x:c r="M355" s="30" t="str">
        <x:v>14997453371</x:v>
      </x:c>
    </x:row>
    <x:row r="356">
      <x:c r="A356" s="27" t="n">
        <x:v>33036</x:v>
      </x:c>
      <x:c r="B356" s="23" t="str">
        <x:v>3Z IRMAOS ZENI SOLUCOES LTDA</x:v>
      </x:c>
      <x:c r="C356" s="25" t="str">
        <x:f>"50124743000141"</x:f>
        <x:v>50124743000141</x:v>
      </x:c>
      <x:c r="D356" s="23" t="str">
        <x:v>ITAPIRA</x:v>
      </x:c>
      <x:c r="E356" s="23" t="str">
        <x:v>3ZIRMAOS@GMAIL.COM</x:v>
      </x:c>
      <x:c r="F356" s="23" t="str">
        <x:v>1150398275</x:v>
      </x:c>
      <x:c r="G356" s="28" t="str">
        <x:v>Destinatário</x:v>
      </x:c>
      <x:c r="H356" s="29" t="n">
        <x:v>46205</x:v>
      </x:c>
      <x:c r="I356" s="29" t="n">
        <x:v>46205</x:v>
      </x:c>
      <x:c r="J356" s="30" t="str"/>
      <x:c r="K356" s="30" t="str"/>
      <x:c r="L356" s="30" t="str"/>
      <x:c r="M356" s="30" t="str"/>
    </x:row>
    <x:row r="357">
      <x:c r="A357" s="27" t="n">
        <x:v>33037</x:v>
      </x:c>
      <x:c r="B357" s="23" t="str">
        <x:v>SIGA BIKE - IMP, IND, MONTAGEM E DIST LIMITADA</x:v>
      </x:c>
      <x:c r="C357" s="25" t="str">
        <x:f>"58197598000130"</x:f>
        <x:v>58197598000130</x:v>
      </x:c>
      <x:c r="D357" s="23" t="str">
        <x:v>RIBEIRÃO PRETO</x:v>
      </x:c>
      <x:c r="E357" s="23" t="str">
        <x:v>SIGABIKE@GMAIL.COM</x:v>
      </x:c>
      <x:c r="F357" s="23" t="str">
        <x:v>1634460351</x:v>
      </x:c>
      <x:c r="G357" s="28" t="str">
        <x:v>Destinatário</x:v>
      </x:c>
      <x:c r="H357" s="29" t="n">
        <x:v>46205</x:v>
      </x:c>
      <x:c r="I357" s="29" t="n">
        <x:v>46205</x:v>
      </x:c>
      <x:c r="J357" s="30" t="str"/>
      <x:c r="K357" s="30" t="str"/>
      <x:c r="L357" s="30" t="str"/>
      <x:c r="M357" s="30" t="str"/>
    </x:row>
    <x:row r="358">
      <x:c r="A358" s="27" t="n">
        <x:v>33039</x:v>
      </x:c>
      <x:c r="B358" s="23" t="str">
        <x:v>AGUINALDO DURAO 22207196852</x:v>
      </x:c>
      <x:c r="C358" s="25" t="str">
        <x:f>"29730460000157"</x:f>
        <x:v>29730460000157</x:v>
      </x:c>
      <x:c r="D358" s="23" t="str">
        <x:v>SERRANA</x:v>
      </x:c>
      <x:c r="E358" s="23" t="str">
        <x:v>AGUINALDO.DURAO@GMAIL.COM</x:v>
      </x:c>
      <x:c r="F358" s="23" t="str">
        <x:v>16994020270</x:v>
      </x:c>
      <x:c r="G358" s="28" t="str">
        <x:v>Destinatário</x:v>
      </x:c>
      <x:c r="H358" s="29" t="n">
        <x:v>46205</x:v>
      </x:c>
      <x:c r="I358" s="29" t="n">
        <x:v>46205</x:v>
      </x:c>
      <x:c r="J358" s="30" t="str"/>
      <x:c r="K358" s="30" t="str"/>
      <x:c r="L358" s="30" t="str"/>
      <x:c r="M358" s="30" t="str"/>
    </x:row>
    <x:row r="359">
      <x:c r="A359" s="27" t="n">
        <x:v>33040</x:v>
      </x:c>
      <x:c r="B359" s="23" t="str">
        <x:v>MPP DISTRIBUIDORA DE MATERIAIS ELETRICOS LTDA</x:v>
      </x:c>
      <x:c r="C359" s="25" t="str">
        <x:f>"27882215000130"</x:f>
        <x:v>27882215000130</x:v>
      </x:c>
      <x:c r="D359" s="23" t="str">
        <x:v>MOGI GUAÇU</x:v>
      </x:c>
      <x:c r="E359" s="23" t="str">
        <x:v>MPPDISTRIBUIDORA@GMAIL.COM</x:v>
      </x:c>
      <x:c r="F359" s="23" t="str">
        <x:v>19992032210</x:v>
      </x:c>
      <x:c r="G359" s="28" t="str">
        <x:v>Destinatário</x:v>
      </x:c>
      <x:c r="H359" s="29" t="n">
        <x:v>46205</x:v>
      </x:c>
      <x:c r="I359" s="29" t="n">
        <x:v>46205</x:v>
      </x:c>
      <x:c r="J359" s="30" t="str"/>
      <x:c r="K359" s="30" t="str"/>
      <x:c r="L359" s="30" t="str"/>
      <x:c r="M359" s="30" t="str"/>
    </x:row>
    <x:row r="360">
      <x:c r="A360" s="27" t="n">
        <x:v>33042</x:v>
      </x:c>
      <x:c r="B360" s="23" t="str">
        <x:v>BRUTAL REVESTIMENTOS LTDA</x:v>
      </x:c>
      <x:c r="C360" s="25" t="str">
        <x:f>"09128230000296"</x:f>
        <x:v>09128230000296</x:v>
      </x:c>
      <x:c r="D360" s="23" t="str">
        <x:v>ESPÍRITO SANTO DO PINHAL</x:v>
      </x:c>
      <x:c r="E360" s="23" t="str">
        <x:v>BRUTALREVESTIMENTOS@GMAIL.COM</x:v>
      </x:c>
      <x:c r="F360" s="23" t="str">
        <x:v>1936611110</x:v>
      </x:c>
      <x:c r="G360" s="28" t="str">
        <x:v>Destinatário</x:v>
      </x:c>
      <x:c r="H360" s="29" t="n">
        <x:v>46205</x:v>
      </x:c>
      <x:c r="I360" s="29" t="n">
        <x:v>46205</x:v>
      </x:c>
      <x:c r="J360" s="30" t="str"/>
      <x:c r="K360" s="30" t="str"/>
      <x:c r="L360" s="30" t="str"/>
      <x:c r="M360" s="30" t="str"/>
    </x:row>
    <x:row r="361">
      <x:c r="A361" s="27" t="n">
        <x:v>33045</x:v>
      </x:c>
      <x:c r="B361" s="23" t="str">
        <x:v>RESIDENCIAL CHIANTI SPE LTDA</x:v>
      </x:c>
      <x:c r="C361" s="25" t="str">
        <x:f>"42142792000189"</x:f>
        <x:v>42142792000189</x:v>
      </x:c>
      <x:c r="D361" s="23" t="str">
        <x:v>RIBEIRÃO PRETO</x:v>
      </x:c>
      <x:c r="E361" s="23" t="str">
        <x:v>ADM@B2UCI.COM.BR</x:v>
      </x:c>
      <x:c r="F361" s="23" t="str">
        <x:v>16997370760</x:v>
      </x:c>
      <x:c r="G361" s="28" t="str">
        <x:v>Destinatário</x:v>
      </x:c>
      <x:c r="H361" s="29" t="n">
        <x:v>46206</x:v>
      </x:c>
      <x:c r="I361" s="29" t="n">
        <x:v>46206</x:v>
      </x:c>
      <x:c r="J361" s="30" t="str">
        <x:v>CARLOS</x:v>
      </x:c>
      <x:c r="K361" s="30" t="str">
        <x:v>COMERCIAL</x:v>
      </x:c>
      <x:c r="L361" s="30" t="str">
        <x:v>ADM@B2UCI.COM.BR</x:v>
      </x:c>
      <x:c r="M361" s="30" t="str">
        <x:v>1697998118</x:v>
      </x:c>
    </x:row>
    <x:row r="362">
      <x:c r="A362" s="27" t="n">
        <x:v>33046</x:v>
      </x:c>
      <x:c r="B362" s="23" t="str">
        <x:v>TINTAS MC LTDA</x:v>
      </x:c>
      <x:c r="C362" s="25" t="str">
        <x:f>"61149506012320"</x:f>
        <x:v>61149506012320</x:v>
      </x:c>
      <x:c r="D362" s="23" t="str">
        <x:v>ARTUR NOGUEIRA</x:v>
      </x:c>
      <x:c r="E362" s="23" t="str">
        <x:v>TINTASMCLTDA@GMAIL.COM</x:v>
      </x:c>
      <x:c r="F362" s="23" t="str">
        <x:v>11965728450</x:v>
      </x:c>
      <x:c r="G362" s="28" t="str">
        <x:v>Destinatário</x:v>
      </x:c>
      <x:c r="H362" s="29" t="n">
        <x:v>46206</x:v>
      </x:c>
      <x:c r="I362" s="29" t="n">
        <x:v>46206</x:v>
      </x:c>
      <x:c r="J362" s="30" t="str"/>
      <x:c r="K362" s="30" t="str"/>
      <x:c r="L362" s="30" t="str"/>
      <x:c r="M362" s="30" t="str"/>
    </x:row>
    <x:row r="363">
      <x:c r="A363" s="27" t="n">
        <x:v>33054</x:v>
      </x:c>
      <x:c r="B363" s="23" t="str">
        <x:v>AUTO FORTE - FUNILARIA E PINTURA LTDA</x:v>
      </x:c>
      <x:c r="C363" s="25" t="str">
        <x:f>"08690900000110"</x:f>
        <x:v>08690900000110</x:v>
      </x:c>
      <x:c r="D363" s="23" t="str">
        <x:v>ARARAQUARA</x:v>
      </x:c>
      <x:c r="E363" s="23" t="str">
        <x:v>autoforte@gmail.com</x:v>
      </x:c>
      <x:c r="F363" s="23" t="str">
        <x:v>16997487183</x:v>
      </x:c>
      <x:c r="G363" s="28" t="str">
        <x:v>Destinatário</x:v>
      </x:c>
      <x:c r="H363" s="29" t="n">
        <x:v>46209</x:v>
      </x:c>
      <x:c r="I363" s="29" t="n">
        <x:v>46209</x:v>
      </x:c>
      <x:c r="J363" s="30" t="str"/>
      <x:c r="K363" s="30" t="str"/>
      <x:c r="L363" s="30" t="str"/>
      <x:c r="M363" s="30" t="str"/>
    </x:row>
    <x:row r="364">
      <x:c r="A364" s="27" t="n">
        <x:v>33055</x:v>
      </x:c>
      <x:c r="B364" s="23" t="str">
        <x:v>AGNALDO DONISETI JOSE</x:v>
      </x:c>
      <x:c r="C364" s="25" t="str">
        <x:f>"05329456000113"</x:f>
        <x:v>05329456000113</x:v>
      </x:c>
      <x:c r="D364" s="23" t="str">
        <x:v>LEME</x:v>
      </x:c>
      <x:c r="E364" s="23" t="str">
        <x:v>AGNALDODONISETI@GMAIL.COM</x:v>
      </x:c>
      <x:c r="F364" s="23" t="str">
        <x:v>19996465379</x:v>
      </x:c>
      <x:c r="G364" s="28" t="str">
        <x:v>Destinatário</x:v>
      </x:c>
      <x:c r="H364" s="29" t="n">
        <x:v>46209</x:v>
      </x:c>
      <x:c r="I364" s="29" t="n">
        <x:v>46209</x:v>
      </x:c>
      <x:c r="J364" s="30" t="str"/>
      <x:c r="K364" s="30" t="str"/>
      <x:c r="L364" s="30" t="str"/>
      <x:c r="M364" s="30" t="str"/>
    </x:row>
    <x:row r="365">
      <x:c r="A365" s="27" t="n">
        <x:v>33058</x:v>
      </x:c>
      <x:c r="B365" s="23" t="str">
        <x:v>V H T P SILVA E CIA SOLUCOES TECNICAS LTDA</x:v>
      </x:c>
      <x:c r="C365" s="25" t="str">
        <x:f>"66805308000112"</x:f>
        <x:v>66805308000112</x:v>
      </x:c>
      <x:c r="D365" s="23" t="str">
        <x:v>SOROCABA</x:v>
      </x:c>
      <x:c r="E365" s="23" t="str">
        <x:v>VHTPSILVA@GMAIL.COM</x:v>
      </x:c>
      <x:c r="F365" s="23" t="str">
        <x:v>15991681771</x:v>
      </x:c>
      <x:c r="G365" s="28" t="str">
        <x:v>Destinatário</x:v>
      </x:c>
      <x:c r="H365" s="29" t="n">
        <x:v>46209</x:v>
      </x:c>
      <x:c r="I365" s="29" t="n">
        <x:v>46209</x:v>
      </x:c>
      <x:c r="J365" s="30" t="str"/>
      <x:c r="K365" s="30" t="str"/>
      <x:c r="L365" s="30" t="str"/>
      <x:c r="M365" s="30" t="str"/>
    </x:row>
    <x:row r="366">
      <x:c r="A366" s="27" t="n">
        <x:v>33059</x:v>
      </x:c>
      <x:c r="B366" s="23" t="str">
        <x:v>BLZM LTDA</x:v>
      </x:c>
      <x:c r="C366" s="25" t="str">
        <x:f>"67545341000113"</x:f>
        <x:v>67545341000113</x:v>
      </x:c>
      <x:c r="D366" s="23" t="str">
        <x:v>SÃO PAULO</x:v>
      </x:c>
      <x:c r="E366" s="23" t="str">
        <x:v>marcos4zalis@gmail.com</x:v>
      </x:c>
      <x:c r="F366" s="23" t="str">
        <x:v>11915491211</x:v>
      </x:c>
      <x:c r="G366" s="28" t="str">
        <x:v>Destinatário</x:v>
      </x:c>
      <x:c r="H366" s="29" t="n">
        <x:v>46209</x:v>
      </x:c>
      <x:c r="I366" s="29" t="n">
        <x:v>46209</x:v>
      </x:c>
      <x:c r="J366" s="30" t="str"/>
      <x:c r="K366" s="30" t="str"/>
      <x:c r="L366" s="30" t="str"/>
      <x:c r="M366" s="30" t="str"/>
    </x:row>
    <x:row r="367">
      <x:c r="A367" s="27" t="n">
        <x:v>33063</x:v>
      </x:c>
      <x:c r="B367" s="23" t="str">
        <x:v>BSL BRASIL INDUSTRIA E COMERCIO LTDA</x:v>
      </x:c>
      <x:c r="C367" s="25" t="str">
        <x:f>"65986429000145"</x:f>
        <x:v>65986429000145</x:v>
      </x:c>
      <x:c r="D367" s="23" t="str">
        <x:v>SÃO BERNARDO DO CAMPO</x:v>
      </x:c>
      <x:c r="E367" s="23" t="str">
        <x:v>financeiro@ampgroup.com.br</x:v>
      </x:c>
      <x:c r="F367" s="23" t="str">
        <x:v>1127585807</x:v>
      </x:c>
      <x:c r="G367" s="28" t="str">
        <x:v>Destinatário</x:v>
      </x:c>
      <x:c r="H367" s="29" t="n">
        <x:v>46210</x:v>
      </x:c>
      <x:c r="I367" s="29" t="n">
        <x:v>46210</x:v>
      </x:c>
      <x:c r="J367" s="30" t="str">
        <x:v>PROPRIETARIO</x:v>
      </x:c>
      <x:c r="K367" s="30" t="str">
        <x:v>COMERCIAL</x:v>
      </x:c>
      <x:c r="L367" s="30" t="str">
        <x:v>financeiro@ampgroup.com.br</x:v>
      </x:c>
      <x:c r="M367" s="30" t="str">
        <x:v>1127585807</x:v>
      </x:c>
    </x:row>
    <x:row r="368">
      <x:c r="A368" s="27" t="n">
        <x:v>33064</x:v>
      </x:c>
      <x:c r="B368" s="23" t="str">
        <x:v>PRISMA COMERCIO DE COLORANTES LTDA</x:v>
      </x:c>
      <x:c r="C368" s="25" t="str">
        <x:f>"54457672000150"</x:f>
        <x:v>54457672000150</x:v>
      </x:c>
      <x:c r="D368" s="23" t="str">
        <x:v>SÃO PAULO</x:v>
      </x:c>
      <x:c r="E368" s="23" t="str">
        <x:v>contabil@decalcontabilidade.com.br</x:v>
      </x:c>
      <x:c r="F368" s="23" t="str">
        <x:v>11975576955</x:v>
      </x:c>
      <x:c r="G368" s="28" t="str">
        <x:v>Destinatário</x:v>
      </x:c>
      <x:c r="H368" s="29" t="n">
        <x:v>46210</x:v>
      </x:c>
      <x:c r="I368" s="29" t="n">
        <x:v>46210</x:v>
      </x:c>
      <x:c r="J368" s="30" t="str">
        <x:v>EDVALDO ALVES</x:v>
      </x:c>
      <x:c r="K368" s="30" t="str">
        <x:v>ADMINISTRATIVO - NEGOCIA FRETE</x:v>
      </x:c>
      <x:c r="L368" s="30" t="str">
        <x:v>contabil@decalcontabilidade.com.br</x:v>
      </x:c>
      <x:c r="M368" s="30" t="str">
        <x:v>11975576955</x:v>
      </x:c>
    </x:row>
    <x:row r="369">
      <x:c r="A369" s="27" t="n">
        <x:v>33066</x:v>
      </x:c>
      <x:c r="B369" s="23" t="str">
        <x:v>CONSORCIO LGR PRIME</x:v>
      </x:c>
      <x:c r="C369" s="25" t="str">
        <x:f>"59643088000102"</x:f>
        <x:v>59643088000102</x:v>
      </x:c>
      <x:c r="D369" s="23" t="str">
        <x:v>SÃO JOSÉ DO RIO PRETO</x:v>
      </x:c>
      <x:c r="E369" s="23" t="str">
        <x:v>LGRCONSTRUTORA@GMAIL.COM</x:v>
      </x:c>
      <x:c r="F369" s="23" t="str">
        <x:v>17981424451</x:v>
      </x:c>
      <x:c r="G369" s="28" t="str">
        <x:v>Destinatário</x:v>
      </x:c>
      <x:c r="H369" s="29" t="n">
        <x:v>46211</x:v>
      </x:c>
      <x:c r="I369" s="29" t="n">
        <x:v>46211</x:v>
      </x:c>
      <x:c r="J369" s="30" t="str">
        <x:v>CARLOS</x:v>
      </x:c>
      <x:c r="K369" s="30" t="str">
        <x:v>COMERCIAL</x:v>
      </x:c>
      <x:c r="L369" s="30" t="str">
        <x:v>LGRCONSTRUTORA@GMAIL.COM</x:v>
      </x:c>
      <x:c r="M369" s="30" t="str">
        <x:v>17981424451</x:v>
      </x:c>
    </x:row>
    <x:row r="370">
      <x:c r="A370" s="27" t="n">
        <x:v>33082</x:v>
      </x:c>
      <x:c r="B370" s="23" t="str">
        <x:v>M P - COMERCIO E INDUSTRIA DE MATERIAIS HOSPITALARES LTDA</x:v>
      </x:c>
      <x:c r="C370" s="25" t="str">
        <x:f>"07499258000123"</x:f>
        <x:v>07499258000123</x:v>
      </x:c>
      <x:c r="D370" s="23" t="str">
        <x:v>ITAPIRA</x:v>
      </x:c>
      <x:c r="E370" s="23" t="str">
        <x:v>MPCOMERCIO@GMAIL.COM</x:v>
      </x:c>
      <x:c r="F370" s="23" t="str">
        <x:v>1938132131</x:v>
      </x:c>
      <x:c r="G370" s="28" t="str">
        <x:v>Destinatário</x:v>
      </x:c>
      <x:c r="H370" s="29" t="n">
        <x:v>46213</x:v>
      </x:c>
      <x:c r="I370" s="29" t="n">
        <x:v>46213</x:v>
      </x:c>
      <x:c r="J370" s="30" t="str"/>
      <x:c r="K370" s="30" t="str"/>
      <x:c r="L370" s="30" t="str"/>
      <x:c r="M370" s="30" t="str"/>
    </x:row>
    <x:row r="371">
      <x:c r="A371" s="27" t="n">
        <x:v>33083</x:v>
      </x:c>
      <x:c r="B371" s="23" t="str">
        <x:v>HAPVIDA ASSISTENCIA MEDICA S.A.</x:v>
      </x:c>
      <x:c r="C371" s="25" t="str">
        <x:f>"63554067027711"</x:f>
        <x:v>63554067027711</x:v>
      </x:c>
      <x:c r="D371" s="23" t="str">
        <x:v>RIBEIRÃO PRETO</x:v>
      </x:c>
      <x:c r="E371" s="23" t="str">
        <x:v>HAPVIDA@GMAIL.COM</x:v>
      </x:c>
      <x:c r="F371" s="23" t="str">
        <x:v>1131556604</x:v>
      </x:c>
      <x:c r="G371" s="28" t="str">
        <x:v>Destinatário</x:v>
      </x:c>
      <x:c r="H371" s="29" t="n">
        <x:v>46213</x:v>
      </x:c>
      <x:c r="I371" s="29" t="n">
        <x:v>46213</x:v>
      </x:c>
      <x:c r="J371" s="30" t="str"/>
      <x:c r="K371" s="30" t="str"/>
      <x:c r="L371" s="30" t="str"/>
      <x:c r="M371" s="30" t="str"/>
    </x:row>
    <x:row r="372">
      <x:c r="A372" s="27" t="n">
        <x:v>33086</x:v>
      </x:c>
      <x:c r="B372" s="23" t="str">
        <x:v>MESTRE PARRILLERO SANTO ANDRE LTDA</x:v>
      </x:c>
      <x:c r="C372" s="25" t="str">
        <x:f>"63271848000175"</x:f>
        <x:v>63271848000175</x:v>
      </x:c>
      <x:c r="D372" s="23" t="str">
        <x:v>SANTO ANDRÉ</x:v>
      </x:c>
      <x:c r="E372" s="23" t="str">
        <x:v>danielricomv@gmail.com</x:v>
      </x:c>
      <x:c r="F372" s="23" t="str">
        <x:v>11996556870</x:v>
      </x:c>
      <x:c r="G372" s="28" t="str">
        <x:v>Destinatário</x:v>
      </x:c>
      <x:c r="H372" s="29" t="n">
        <x:v>46233</x:v>
      </x:c>
      <x:c r="I372" s="29" t="n">
        <x:v>46214</x:v>
      </x:c>
      <x:c r="J372" s="30" t="str">
        <x:v>COMERCIAL</x:v>
      </x:c>
      <x:c r="K372" s="30" t="str">
        <x:v>COMERCIAL</x:v>
      </x:c>
      <x:c r="L372" s="30" t="str">
        <x:v>danielricomv@gmail.com</x:v>
      </x:c>
      <x:c r="M372" s="30" t="str">
        <x:v>11996556870</x:v>
      </x:c>
    </x:row>
    <x:row r="373">
      <x:c r="A373" s="27" t="n">
        <x:v>33088</x:v>
      </x:c>
      <x:c r="B373" s="23" t="str">
        <x:v>SUDELETRO COMERCIO DE MATERIAIS ELETRICOS LTDA</x:v>
      </x:c>
      <x:c r="C373" s="25" t="str">
        <x:f>"27505482000198"</x:f>
        <x:v>27505482000198</x:v>
      </x:c>
      <x:c r="D373" s="23" t="str">
        <x:v>CAMPINAS</x:v>
      </x:c>
      <x:c r="E373" s="23" t="str">
        <x:v>SUDELETRO@GMAIL.COM</x:v>
      </x:c>
      <x:c r="F373" s="23" t="str">
        <x:v>19981838104</x:v>
      </x:c>
      <x:c r="G373" s="28" t="str">
        <x:v>Destinatário</x:v>
      </x:c>
      <x:c r="H373" s="29" t="n">
        <x:v>46216</x:v>
      </x:c>
      <x:c r="I373" s="29" t="n">
        <x:v>46216</x:v>
      </x:c>
      <x:c r="J373" s="30" t="str"/>
      <x:c r="K373" s="30" t="str"/>
      <x:c r="L373" s="30" t="str"/>
      <x:c r="M373" s="30" t="str"/>
    </x:row>
    <x:row r="374">
      <x:c r="A374" s="27" t="n">
        <x:v>33093</x:v>
      </x:c>
      <x:c r="B374" s="23" t="str">
        <x:v>ESPACO DA MADEIRA LTDA</x:v>
      </x:c>
      <x:c r="C374" s="25" t="str">
        <x:f>"08851559000137"</x:f>
        <x:v>08851559000137</x:v>
      </x:c>
      <x:c r="D374" s="23" t="str">
        <x:v>OSASCO</x:v>
      </x:c>
      <x:c r="E374" s="23" t="str">
        <x:v>espaco@grupoemporiodamadeira.com</x:v>
      </x:c>
      <x:c r="F374" s="23" t="str">
        <x:v>1198154966</x:v>
      </x:c>
      <x:c r="G374" s="28" t="str">
        <x:v>Destinatário</x:v>
      </x:c>
      <x:c r="H374" s="29" t="n">
        <x:v>46216</x:v>
      </x:c>
      <x:c r="I374" s="29" t="n">
        <x:v>46216</x:v>
      </x:c>
      <x:c r="J374" s="30" t="str"/>
      <x:c r="K374" s="30" t="str"/>
      <x:c r="L374" s="30" t="str"/>
      <x:c r="M374" s="30" t="str"/>
    </x:row>
    <x:row r="375">
      <x:c r="A375" s="27" t="n">
        <x:v>33095</x:v>
      </x:c>
      <x:c r="B375" s="23" t="str">
        <x:v>LEANDRO DA SILVA 14404712820</x:v>
      </x:c>
      <x:c r="C375" s="25" t="str">
        <x:f>"18717206000100"</x:f>
        <x:v>18717206000100</x:v>
      </x:c>
      <x:c r="D375" s="23" t="str">
        <x:v>PATROCÍNIO PAULISTA</x:v>
      </x:c>
      <x:c r="E375" s="23" t="str">
        <x:v>LEANDRODASILVA@GMAIL.COM</x:v>
      </x:c>
      <x:c r="F375" s="23" t="str">
        <x:v>16992430214</x:v>
      </x:c>
      <x:c r="G375" s="28" t="str">
        <x:v>Destinatário</x:v>
      </x:c>
      <x:c r="H375" s="29" t="n">
        <x:v>46216</x:v>
      </x:c>
      <x:c r="I375" s="29" t="n">
        <x:v>46216</x:v>
      </x:c>
      <x:c r="J375" s="30" t="str"/>
      <x:c r="K375" s="30" t="str"/>
      <x:c r="L375" s="30" t="str"/>
      <x:c r="M375" s="30" t="str"/>
    </x:row>
    <x:row r="376">
      <x:c r="A376" s="27" t="n">
        <x:v>33096</x:v>
      </x:c>
      <x:c r="B376" s="23" t="str">
        <x:v>CONSTRUFERRO CONSTRUTORA LTDA</x:v>
      </x:c>
      <x:c r="C376" s="25" t="str">
        <x:f>"62406852000130"</x:f>
        <x:v>62406852000130</x:v>
      </x:c>
      <x:c r="D376" s="23" t="str">
        <x:v>PALESTINA</x:v>
      </x:c>
      <x:c r="E376" s="23" t="str">
        <x:v>legal@velani.com.br</x:v>
      </x:c>
      <x:c r="F376" s="23" t="str">
        <x:v>1732017777</x:v>
      </x:c>
      <x:c r="G376" s="28" t="str">
        <x:v>Destinatário</x:v>
      </x:c>
      <x:c r="H376" s="29" t="n">
        <x:v>46219</x:v>
      </x:c>
      <x:c r="I376" s="29" t="n">
        <x:v>46219</x:v>
      </x:c>
      <x:c r="J376" s="30" t="str"/>
      <x:c r="K376" s="30" t="str"/>
      <x:c r="L376" s="30" t="str"/>
      <x:c r="M376" s="30" t="str"/>
    </x:row>
    <x:row r="377">
      <x:c r="A377" s="27" t="n">
        <x:v>33097</x:v>
      </x:c>
      <x:c r="B377" s="23" t="str">
        <x:v>CNA S.A.</x:v>
      </x:c>
      <x:c r="C377" s="25" t="str">
        <x:f>"60881299000405"</x:f>
        <x:v>60881299000405</x:v>
      </x:c>
      <x:c r="D377" s="23" t="str">
        <x:v>PIRACICABA</x:v>
      </x:c>
      <x:c r="E377" s="23" t="str"/>
      <x:c r="F377" s="23" t="str"/>
      <x:c r="G377" s="28" t="str">
        <x:v>Destinatário</x:v>
      </x:c>
      <x:c r="H377" s="29" t="n">
        <x:v>46217</x:v>
      </x:c>
      <x:c r="I377" s="29" t="n">
        <x:v>46217</x:v>
      </x:c>
      <x:c r="J377" s="30" t="str"/>
      <x:c r="K377" s="30" t="str"/>
      <x:c r="L377" s="30" t="str"/>
      <x:c r="M377" s="30" t="str"/>
    </x:row>
    <x:row r="378">
      <x:c r="A378" s="27" t="n">
        <x:v>33100</x:v>
      </x:c>
      <x:c r="B378" s="23" t="str">
        <x:v>FABIANA FERNANDES MASTREANI</x:v>
      </x:c>
      <x:c r="C378" s="25" t="str">
        <x:f>"67186993000109"</x:f>
        <x:v>67186993000109</x:v>
      </x:c>
      <x:c r="D378" s="23" t="str">
        <x:v>ARAÇATUBA</x:v>
      </x:c>
      <x:c r="E378" s="23" t="str"/>
      <x:c r="F378" s="23" t="str"/>
      <x:c r="G378" s="28" t="str">
        <x:v>Destinatário</x:v>
      </x:c>
      <x:c r="H378" s="29" t="n">
        <x:v>46217</x:v>
      </x:c>
      <x:c r="I378" s="29" t="n">
        <x:v>46217</x:v>
      </x:c>
      <x:c r="J378" s="30" t="str">
        <x:v>RODRIGO</x:v>
      </x:c>
      <x:c r="K378" s="30" t="str">
        <x:v>ADMINISTRATIVO - NEGOCIA FRETE</x:v>
      </x:c>
      <x:c r="L378" s="30" t="str">
        <x:v>rodrigo.mastreani@gmail.com</x:v>
      </x:c>
      <x:c r="M378" s="30" t="str">
        <x:v>18997294369</x:v>
      </x:c>
    </x:row>
    <x:row r="379">
      <x:c r="A379" s="27" t="n">
        <x:v>33101</x:v>
      </x:c>
      <x:c r="B379" s="23" t="str">
        <x:v>LUMEDECOR COMERCIO DE ILUMINACAO E DECORACOES LTDA</x:v>
      </x:c>
      <x:c r="C379" s="25" t="str">
        <x:f>"48411668000158"</x:f>
        <x:v>48411668000158</x:v>
      </x:c>
      <x:c r="D379" s="23" t="str">
        <x:v>SÃO JOSÉ DO RIO PRETO</x:v>
      </x:c>
      <x:c r="E379" s="23" t="str">
        <x:v>LUMEDECOR@GMAIL.COM</x:v>
      </x:c>
      <x:c r="F379" s="23" t="str">
        <x:v>17991659865</x:v>
      </x:c>
      <x:c r="G379" s="28" t="str">
        <x:v>Destinatário</x:v>
      </x:c>
      <x:c r="H379" s="29" t="n">
        <x:v>46231</x:v>
      </x:c>
      <x:c r="I379" s="29" t="n">
        <x:v>46217</x:v>
      </x:c>
      <x:c r="J379" s="30" t="str"/>
      <x:c r="K379" s="30" t="str"/>
      <x:c r="L379" s="30" t="str"/>
      <x:c r="M379" s="30" t="str"/>
    </x:row>
    <x:row r="380">
      <x:c r="A380" s="27" t="n">
        <x:v>33102</x:v>
      </x:c>
      <x:c r="B380" s="23" t="str">
        <x:v>ROYAL OLIMPIA ADMINISTRADORA HOTELEIRA E PARTICIPACOES LTDA.</x:v>
      </x:c>
      <x:c r="C380" s="25" t="str">
        <x:f>"20938818000248"</x:f>
        <x:v>20938818000248</x:v>
      </x:c>
      <x:c r="D380" s="23" t="str">
        <x:v>OLÍMPIA</x:v>
      </x:c>
      <x:c r="E380" s="23" t="str">
        <x:v>compras.ayb@wyndhamolimpia.com</x:v>
      </x:c>
      <x:c r="F380" s="23" t="str">
        <x:v>1732808100</x:v>
      </x:c>
      <x:c r="G380" s="28" t="str">
        <x:v>Destinatário</x:v>
      </x:c>
      <x:c r="H380" s="29" t="n">
        <x:v>46218</x:v>
      </x:c>
      <x:c r="I380" s="29" t="n">
        <x:v>46218</x:v>
      </x:c>
      <x:c r="J380" s="30" t="str">
        <x:v>LEANDRO</x:v>
      </x:c>
      <x:c r="K380" s="30" t="str">
        <x:v>COMPRAS</x:v>
      </x:c>
      <x:c r="L380" s="30" t="str">
        <x:v>compras.ayb@wyndhamolimpia.com</x:v>
      </x:c>
      <x:c r="M380" s="30" t="str">
        <x:v>17996531849</x:v>
      </x:c>
    </x:row>
    <x:row r="381">
      <x:c r="A381" s="27" t="n">
        <x:v>33105</x:v>
      </x:c>
      <x:c r="B381" s="23" t="str">
        <x:v>TURIUBA MATERIAIS DE CONSTRUCAO LTDA</x:v>
      </x:c>
      <x:c r="C381" s="25" t="str">
        <x:f>"30161437000178"</x:f>
        <x:v>30161437000178</x:v>
      </x:c>
      <x:c r="D381" s="23" t="str">
        <x:v>TURIÚBA</x:v>
      </x:c>
      <x:c r="E381" s="23" t="str">
        <x:v>TURIBAMAT@GMAIL.COM</x:v>
      </x:c>
      <x:c r="F381" s="23" t="str">
        <x:v>18997445135</x:v>
      </x:c>
      <x:c r="G381" s="28" t="str">
        <x:v>Destinatário</x:v>
      </x:c>
      <x:c r="H381" s="29" t="n">
        <x:v>46217</x:v>
      </x:c>
      <x:c r="I381" s="29" t="n">
        <x:v>46217</x:v>
      </x:c>
      <x:c r="J381" s="30" t="str"/>
      <x:c r="K381" s="30" t="str"/>
      <x:c r="L381" s="30" t="str"/>
      <x:c r="M381" s="30" t="str"/>
    </x:row>
    <x:row r="382">
      <x:c r="A382" s="27" t="n">
        <x:v>33107</x:v>
      </x:c>
      <x:c r="B382" s="23" t="str">
        <x:v>LUCIANA DA SILVA ROMUALDI</x:v>
      </x:c>
      <x:c r="C382" s="25" t="str">
        <x:f>"01165092000122"</x:f>
        <x:v>01165092000122</x:v>
      </x:c>
      <x:c r="D382" s="23" t="str">
        <x:v>IPUÃ</x:v>
      </x:c>
      <x:c r="E382" s="23" t="str">
        <x:v>romualdoconstucao@hotmail.com</x:v>
      </x:c>
      <x:c r="F382" s="23" t="str">
        <x:v>16999307324</x:v>
      </x:c>
      <x:c r="G382" s="28" t="str">
        <x:v>Destinatário</x:v>
      </x:c>
      <x:c r="H382" s="29" t="n">
        <x:v>46218</x:v>
      </x:c>
      <x:c r="I382" s="29" t="n">
        <x:v>46218</x:v>
      </x:c>
      <x:c r="J382" s="30" t="str">
        <x:v>ROMUALDO</x:v>
      </x:c>
      <x:c r="K382" s="30" t="str">
        <x:v>ADMINISTRATIVO - NEGOCIA FRETE</x:v>
      </x:c>
      <x:c r="L382" s="30" t="str">
        <x:v>romualdoconstucao@hotmail.com</x:v>
      </x:c>
      <x:c r="M382" s="30" t="str">
        <x:v>16999307324</x:v>
      </x:c>
    </x:row>
    <x:row r="383">
      <x:c r="A383" s="27" t="n">
        <x:v>33117</x:v>
      </x:c>
      <x:c r="B383" s="23" t="str">
        <x:v>RP 199 VITTA RESIDENCIAL SPE LTDA</x:v>
      </x:c>
      <x:c r="C383" s="25" t="str">
        <x:f>"48012720000101"</x:f>
        <x:v>48012720000101</x:v>
      </x:c>
      <x:c r="D383" s="23" t="str">
        <x:v>RIBEIRÃO PRETO</x:v>
      </x:c>
      <x:c r="E383" s="23" t="str">
        <x:v>carolina.guimaraes@vittaresidencial.com.br</x:v>
      </x:c>
      <x:c r="F383" s="23" t="str">
        <x:v>1438784700</x:v>
      </x:c>
      <x:c r="G383" s="28" t="str">
        <x:v>Destinatário</x:v>
      </x:c>
      <x:c r="H383" s="29" t="n">
        <x:v>46219</x:v>
      </x:c>
      <x:c r="I383" s="29" t="n">
        <x:v>46219</x:v>
      </x:c>
      <x:c r="J383" s="30" t="str"/>
      <x:c r="K383" s="30" t="str"/>
      <x:c r="L383" s="30" t="str"/>
      <x:c r="M383" s="30" t="str"/>
    </x:row>
    <x:row r="384">
      <x:c r="A384" s="27" t="n">
        <x:v>33118</x:v>
      </x:c>
      <x:c r="B384" s="23" t="str">
        <x:v>SHEIKCOLLOR TINTAS LTDA</x:v>
      </x:c>
      <x:c r="C384" s="25" t="str">
        <x:f>"67587367000124"</x:f>
        <x:v>67587367000124</x:v>
      </x:c>
      <x:c r="D384" s="23" t="str">
        <x:v>SÃO JOSÉ DO RIO PRETO</x:v>
      </x:c>
      <x:c r="E384" s="23" t="str">
        <x:v>SHEIKCOLLOR@GMAIL.COM</x:v>
      </x:c>
      <x:c r="F384" s="23" t="str">
        <x:v>1737511513</x:v>
      </x:c>
      <x:c r="G384" s="28" t="str">
        <x:v>Destinatário</x:v>
      </x:c>
      <x:c r="H384" s="29" t="n">
        <x:v>46219</x:v>
      </x:c>
      <x:c r="I384" s="29" t="n">
        <x:v>46219</x:v>
      </x:c>
      <x:c r="J384" s="30" t="str"/>
      <x:c r="K384" s="30" t="str"/>
      <x:c r="L384" s="30" t="str"/>
      <x:c r="M384" s="30" t="str"/>
    </x:row>
    <x:row r="385">
      <x:c r="A385" s="27" t="n">
        <x:v>33119</x:v>
      </x:c>
      <x:c r="B385" s="23" t="str">
        <x:v>LUIZ CARLOS MADURO JUNIOR TINTAS</x:v>
      </x:c>
      <x:c r="C385" s="25" t="str">
        <x:f>"67202436000134"</x:f>
        <x:v>67202436000134</x:v>
      </x:c>
      <x:c r="D385" s="23" t="str">
        <x:v>SÃO CARLOS</x:v>
      </x:c>
      <x:c r="E385" s="23" t="str">
        <x:v>LUIZCARLO@GMAIL.COM</x:v>
      </x:c>
      <x:c r="F385" s="23" t="str"/>
      <x:c r="G385" s="28" t="str">
        <x:v>Destinatário</x:v>
      </x:c>
      <x:c r="H385" s="29" t="n">
        <x:v>46219</x:v>
      </x:c>
      <x:c r="I385" s="29" t="n">
        <x:v>46219</x:v>
      </x:c>
      <x:c r="J385" s="30" t="str"/>
      <x:c r="K385" s="30" t="str"/>
      <x:c r="L385" s="30" t="str"/>
      <x:c r="M385" s="30" t="str"/>
    </x:row>
    <x:row r="386">
      <x:c r="A386" s="27" t="n">
        <x:v>33120</x:v>
      </x:c>
      <x:c r="B386" s="23" t="str">
        <x:v>MARCIO SCHMIDT MATERIAIS PARA CONSTRUCAO LTDA</x:v>
      </x:c>
      <x:c r="C386" s="25" t="str">
        <x:f>"66001442000160"</x:f>
        <x:v>66001442000160</x:v>
      </x:c>
      <x:c r="D386" s="23" t="str">
        <x:v>SANTA FÉ DO SUL</x:v>
      </x:c>
      <x:c r="E386" s="23" t="str">
        <x:v>MARCIOSCHMIDT@GMAIL.COM</x:v>
      </x:c>
      <x:c r="F386" s="23" t="str"/>
      <x:c r="G386" s="28" t="str">
        <x:v>Destinatário</x:v>
      </x:c>
      <x:c r="H386" s="29" t="n">
        <x:v>46219</x:v>
      </x:c>
      <x:c r="I386" s="29" t="n">
        <x:v>46219</x:v>
      </x:c>
      <x:c r="J386" s="30" t="str"/>
      <x:c r="K386" s="30" t="str"/>
      <x:c r="L386" s="30" t="str"/>
      <x:c r="M386" s="30" t="str"/>
    </x:row>
    <x:row r="387">
      <x:c r="A387" s="27" t="n">
        <x:v>33123</x:v>
      </x:c>
      <x:c r="B387" s="23" t="str">
        <x:v>EFATA TINTAS LTDA</x:v>
      </x:c>
      <x:c r="C387" s="25" t="str">
        <x:f>"34322030000136"</x:f>
        <x:v>34322030000136</x:v>
      </x:c>
      <x:c r="D387" s="23" t="str">
        <x:v>ADAMANTINA</x:v>
      </x:c>
      <x:c r="E387" s="23" t="str">
        <x:v>EFATATINTAS@GMAIL.COM</x:v>
      </x:c>
      <x:c r="F387" s="23" t="str">
        <x:v>18996868772</x:v>
      </x:c>
      <x:c r="G387" s="28" t="str">
        <x:v>Destinatário</x:v>
      </x:c>
      <x:c r="H387" s="29" t="n">
        <x:v>46220</x:v>
      </x:c>
      <x:c r="I387" s="29" t="n">
        <x:v>46220</x:v>
      </x:c>
      <x:c r="J387" s="30" t="str"/>
      <x:c r="K387" s="30" t="str"/>
      <x:c r="L387" s="30" t="str"/>
      <x:c r="M387" s="30" t="str"/>
    </x:row>
    <x:row r="388">
      <x:c r="A388" s="27" t="n">
        <x:v>33125</x:v>
      </x:c>
      <x:c r="B388" s="23" t="str">
        <x:v>DEPARTAMENTO AUTONOMO DE AGUA E ESGOTO</x:v>
      </x:c>
      <x:c r="C388" s="25" t="str">
        <x:f>"56401177000154"</x:f>
        <x:v>56401177000154</x:v>
      </x:c>
      <x:c r="D388" s="23" t="str">
        <x:v>RIO CLARO</x:v>
      </x:c>
      <x:c r="E388" s="23" t="str">
        <x:v>daaerioclaro@rioclaro.com.br</x:v>
      </x:c>
      <x:c r="F388" s="23" t="str">
        <x:v>19997778877</x:v>
      </x:c>
      <x:c r="G388" s="28" t="str">
        <x:v>Destinatário</x:v>
      </x:c>
      <x:c r="H388" s="29" t="n">
        <x:v>46227</x:v>
      </x:c>
      <x:c r="I388" s="29" t="n">
        <x:v>46220</x:v>
      </x:c>
      <x:c r="J388" s="30" t="str">
        <x:v>SANDRA</x:v>
      </x:c>
      <x:c r="K388" s="30" t="str">
        <x:v>COMPRAS</x:v>
      </x:c>
      <x:c r="L388" s="30" t="str">
        <x:v>daaerioclaro@rioclaro.com.br</x:v>
      </x:c>
      <x:c r="M388" s="30" t="str">
        <x:v>19997778877</x:v>
      </x:c>
    </x:row>
    <x:row r="389">
      <x:c r="A389" s="27" t="n">
        <x:v>33132</x:v>
      </x:c>
      <x:c r="B389" s="23" t="str">
        <x:v>CASA DAV COMERCIO EM GERAL LTDA</x:v>
      </x:c>
      <x:c r="C389" s="25" t="str">
        <x:f>"50627482000182"</x:f>
        <x:v>50627482000182</x:v>
      </x:c>
      <x:c r="D389" s="23" t="str">
        <x:v>SÃO JOSÉ DOS CAMPOS</x:v>
      </x:c>
      <x:c r="E389" s="23" t="str">
        <x:v>pantax@pantax.com.br</x:v>
      </x:c>
      <x:c r="F389" s="23" t="str">
        <x:v>12981839217</x:v>
      </x:c>
      <x:c r="G389" s="28" t="str">
        <x:v>Destinatário</x:v>
      </x:c>
      <x:c r="H389" s="29" t="n">
        <x:v>46223</x:v>
      </x:c>
      <x:c r="I389" s="29" t="n">
        <x:v>46223</x:v>
      </x:c>
      <x:c r="J389" s="30" t="str"/>
      <x:c r="K389" s="30" t="str"/>
      <x:c r="L389" s="30" t="str"/>
      <x:c r="M389" s="30" t="str"/>
    </x:row>
    <x:row r="390">
      <x:c r="A390" s="27" t="n">
        <x:v>33133</x:v>
      </x:c>
      <x:c r="B390" s="23" t="str">
        <x:v>DROGAL FARMACEUTICA LTDA</x:v>
      </x:c>
      <x:c r="C390" s="25" t="str">
        <x:f>"54375647035699"</x:f>
        <x:v>54375647035699</x:v>
      </x:c>
      <x:c r="D390" s="23" t="str">
        <x:v>ARARAQUARA</x:v>
      </x:c>
      <x:c r="E390" s="23" t="str">
        <x:v>fiscal@drogal.com.br</x:v>
      </x:c>
      <x:c r="F390" s="23" t="str">
        <x:v>1934291200</x:v>
      </x:c>
      <x:c r="G390" s="28" t="str">
        <x:v>Destinatário</x:v>
      </x:c>
      <x:c r="H390" s="29" t="n">
        <x:v>46223</x:v>
      </x:c>
      <x:c r="I390" s="29" t="n">
        <x:v>46223</x:v>
      </x:c>
      <x:c r="J390" s="30" t="str">
        <x:v>FISCAL</x:v>
      </x:c>
      <x:c r="K390" s="30" t="str">
        <x:v>ADMINISTRATIVO - NEGOCIA FRETE</x:v>
      </x:c>
      <x:c r="L390" s="30" t="str">
        <x:v>fiscal@drogal.com.br</x:v>
      </x:c>
      <x:c r="M390" s="30" t="str">
        <x:v>1934291200</x:v>
      </x:c>
    </x:row>
    <x:row r="391">
      <x:c r="A391" s="27" t="n">
        <x:v>33136</x:v>
      </x:c>
      <x:c r="B391" s="23" t="str">
        <x:v>AQUAFORTE TUBO LTDA</x:v>
      </x:c>
      <x:c r="C391" s="25" t="str">
        <x:f>"35341542000102"</x:f>
        <x:v>35341542000102</x:v>
      </x:c>
      <x:c r="D391" s="23" t="str">
        <x:v>NOVA ALIANÇA</x:v>
      </x:c>
      <x:c r="E391" s="23" t="str">
        <x:v>AQUAFORTE@GMAIL.COM</x:v>
      </x:c>
      <x:c r="F391" s="23" t="str">
        <x:v>1732384429</x:v>
      </x:c>
      <x:c r="G391" s="28" t="str">
        <x:v>Destinatário</x:v>
      </x:c>
      <x:c r="H391" s="29" t="n">
        <x:v>46223</x:v>
      </x:c>
      <x:c r="I391" s="29" t="n">
        <x:v>46223</x:v>
      </x:c>
      <x:c r="J391" s="30" t="str"/>
      <x:c r="K391" s="30" t="str"/>
      <x:c r="L391" s="30" t="str"/>
      <x:c r="M391" s="30" t="str"/>
    </x:row>
    <x:row r="392">
      <x:c r="A392" s="27" t="n">
        <x:v>33140</x:v>
      </x:c>
      <x:c r="B392" s="23" t="str">
        <x:v>CONSTRUFERA COMERCIO DE MATERIAIS DE CONSTRUCAO LTDA</x:v>
      </x:c>
      <x:c r="C392" s="25" t="str">
        <x:f>"04891068000169"</x:f>
        <x:v>04891068000169</x:v>
      </x:c>
      <x:c r="D392" s="23" t="str">
        <x:v>LIMEIRA</x:v>
      </x:c>
      <x:c r="E392" s="23" t="str">
        <x:v>CONSTRUFERA@GMAIL.COM</x:v>
      </x:c>
      <x:c r="F392" s="23" t="str">
        <x:v>19983990187</x:v>
      </x:c>
      <x:c r="G392" s="28" t="str">
        <x:v>Destinatário</x:v>
      </x:c>
      <x:c r="H392" s="29" t="n">
        <x:v>46225</x:v>
      </x:c>
      <x:c r="I392" s="29" t="n">
        <x:v>46224</x:v>
      </x:c>
      <x:c r="J392" s="30" t="str"/>
      <x:c r="K392" s="30" t="str"/>
      <x:c r="L392" s="30" t="str"/>
      <x:c r="M392" s="30" t="str"/>
    </x:row>
    <x:row r="393">
      <x:c r="A393" s="27" t="n">
        <x:v>33144</x:v>
      </x:c>
      <x:c r="B393" s="23" t="str">
        <x:v>AB177 EMPREENDIMENTOS IMOBILIARIOS LTDA</x:v>
      </x:c>
      <x:c r="C393" s="25" t="str">
        <x:f>"42295258000102"</x:f>
        <x:v>42295258000102</x:v>
      </x:c>
      <x:c r="D393" s="23" t="str">
        <x:v>CAMPINAS</x:v>
      </x:c>
      <x:c r="E393" s="23" t="str">
        <x:v>AB177EMPREENDIMENTOS@GMAIL.COM</x:v>
      </x:c>
      <x:c r="F393" s="23" t="str">
        <x:v>19971290734</x:v>
      </x:c>
      <x:c r="G393" s="28" t="str">
        <x:v>Destinatário</x:v>
      </x:c>
      <x:c r="H393" s="29" t="n">
        <x:v>46225</x:v>
      </x:c>
      <x:c r="I393" s="29" t="n">
        <x:v>46225</x:v>
      </x:c>
      <x:c r="J393" s="30" t="str"/>
      <x:c r="K393" s="30" t="str"/>
      <x:c r="L393" s="30" t="str"/>
      <x:c r="M393" s="30" t="str"/>
    </x:row>
    <x:row r="394">
      <x:c r="A394" s="27" t="n">
        <x:v>33145</x:v>
      </x:c>
      <x:c r="B394" s="23" t="str">
        <x:v>COMERCIAL DE TINTAS DADO LTDA</x:v>
      </x:c>
      <x:c r="C394" s="25" t="str">
        <x:f>"46804861000123"</x:f>
        <x:v>46804861000123</x:v>
      </x:c>
      <x:c r="D394" s="23" t="str">
        <x:v>AMERICANA</x:v>
      </x:c>
      <x:c r="E394" s="23" t="str">
        <x:v>COMERCIALDETINTAS@HOTMAIL.COM</x:v>
      </x:c>
      <x:c r="F394" s="23" t="str">
        <x:v>19988597506</x:v>
      </x:c>
      <x:c r="G394" s="28" t="str">
        <x:v>Destinatário</x:v>
      </x:c>
      <x:c r="H394" s="29" t="n">
        <x:v>46225</x:v>
      </x:c>
      <x:c r="I394" s="29" t="n">
        <x:v>46225</x:v>
      </x:c>
      <x:c r="J394" s="30" t="str"/>
      <x:c r="K394" s="30" t="str"/>
      <x:c r="L394" s="30" t="str"/>
      <x:c r="M394" s="30" t="str"/>
    </x:row>
    <x:row r="395">
      <x:c r="A395" s="27" t="n">
        <x:v>33147</x:v>
      </x:c>
      <x:c r="B395" s="23" t="str">
        <x:v>NEWS CAR ESTETICA AUTOMOTIVA LTDA</x:v>
      </x:c>
      <x:c r="C395" s="25" t="str">
        <x:f>"09720771000128"</x:f>
        <x:v>09720771000128</x:v>
      </x:c>
      <x:c r="D395" s="23" t="str">
        <x:v>SÃO PAULO</x:v>
      </x:c>
      <x:c r="E395" s="23" t="str"/>
      <x:c r="F395" s="23" t="str"/>
      <x:c r="G395" s="28" t="str">
        <x:v>Destinatário</x:v>
      </x:c>
      <x:c r="H395" s="29" t="n">
        <x:v>46226</x:v>
      </x:c>
      <x:c r="I395" s="29" t="n">
        <x:v>46226</x:v>
      </x:c>
      <x:c r="J395" s="30" t="str"/>
      <x:c r="K395" s="30" t="str"/>
      <x:c r="L395" s="30" t="str"/>
      <x:c r="M395" s="30" t="str"/>
    </x:row>
    <x:row r="396">
      <x:c r="A396" s="27" t="n">
        <x:v>33148</x:v>
      </x:c>
      <x:c r="B396" s="23" t="str">
        <x:v>SANTA CASA DE MISERICORDIA DE GUAIRA</x:v>
      </x:c>
      <x:c r="C396" s="25" t="str">
        <x:f>"48341283000161"</x:f>
        <x:v>48341283000161</x:v>
      </x:c>
      <x:c r="D396" s="23" t="str">
        <x:v>GUAÍRA</x:v>
      </x:c>
      <x:c r="E396" s="23" t="str">
        <x:v>compras@santacasadeguaira.com.br</x:v>
      </x:c>
      <x:c r="F396" s="23" t="str">
        <x:v>1733327064</x:v>
      </x:c>
      <x:c r="G396" s="28" t="str">
        <x:v>Destinatário</x:v>
      </x:c>
      <x:c r="H396" s="29" t="n">
        <x:v>46225</x:v>
      </x:c>
      <x:c r="I396" s="29" t="n">
        <x:v>46225</x:v>
      </x:c>
      <x:c r="J396" s="30" t="str">
        <x:v>COMPRAS</x:v>
      </x:c>
      <x:c r="K396" s="30" t="str">
        <x:v>ADMINISTRATIVO - NEGOCIA FRETE</x:v>
      </x:c>
      <x:c r="L396" s="30" t="str">
        <x:v>compras@santacasadeguaira.com.br</x:v>
      </x:c>
      <x:c r="M396" s="30" t="str">
        <x:v>1733327064</x:v>
      </x:c>
    </x:row>
    <x:row r="397">
      <x:c r="A397" s="27" t="n">
        <x:v>33149</x:v>
      </x:c>
      <x:c r="B397" s="23" t="str">
        <x:v>LARANJAL TINTAS E MATERIAIS PARA PINTURA LTDA</x:v>
      </x:c>
      <x:c r="C397" s="25" t="str">
        <x:f>"21438252000258"</x:f>
        <x:v>21438252000258</x:v>
      </x:c>
      <x:c r="D397" s="23" t="str">
        <x:v>PORANGABA</x:v>
      </x:c>
      <x:c r="E397" s="23" t="str">
        <x:v>LARANJALTINTAS@HOTMAIL.COM</x:v>
      </x:c>
      <x:c r="F397" s="23" t="str">
        <x:v>11965728450</x:v>
      </x:c>
      <x:c r="G397" s="28" t="str">
        <x:v>Destinatário</x:v>
      </x:c>
      <x:c r="H397" s="29" t="n">
        <x:v>46226</x:v>
      </x:c>
      <x:c r="I397" s="29" t="n">
        <x:v>46226</x:v>
      </x:c>
      <x:c r="J397" s="30" t="str"/>
      <x:c r="K397" s="30" t="str"/>
      <x:c r="L397" s="30" t="str"/>
      <x:c r="M397" s="30" t="str"/>
    </x:row>
    <x:row r="398">
      <x:c r="A398" s="27" t="n">
        <x:v>33150</x:v>
      </x:c>
      <x:c r="B398" s="23" t="str">
        <x:v>ZEN PRODUTOS AUTOMOTIVOS SUDESTE LTDA</x:v>
      </x:c>
      <x:c r="C398" s="25" t="str">
        <x:f>"51975279000160"</x:f>
        <x:v>51975279000160</x:v>
      </x:c>
      <x:c r="D398" s="23" t="str">
        <x:v>BARUERI</x:v>
      </x:c>
      <x:c r="E398" s="23" t="str">
        <x:v>contabilidade@zensa.com.br</x:v>
      </x:c>
      <x:c r="F398" s="23" t="str">
        <x:v>4732552800</x:v>
      </x:c>
      <x:c r="G398" s="28" t="str">
        <x:v>Destinatário</x:v>
      </x:c>
      <x:c r="H398" s="29" t="n">
        <x:v>46226</x:v>
      </x:c>
      <x:c r="I398" s="29" t="n">
        <x:v>46226</x:v>
      </x:c>
      <x:c r="J398" s="30" t="str"/>
      <x:c r="K398" s="30" t="str"/>
      <x:c r="L398" s="30" t="str"/>
      <x:c r="M398" s="30" t="str"/>
    </x:row>
    <x:row r="399">
      <x:c r="A399" s="27" t="n">
        <x:v>33151</x:v>
      </x:c>
      <x:c r="B399" s="23" t="str">
        <x:v>G.TECH AUTOMOTIVO LTDA</x:v>
      </x:c>
      <x:c r="C399" s="25" t="str">
        <x:f>"32531208000123"</x:f>
        <x:v>32531208000123</x:v>
      </x:c>
      <x:c r="D399" s="23" t="str">
        <x:v>SÃO PAULO</x:v>
      </x:c>
      <x:c r="E399" s="23" t="str">
        <x:v>financeiro@gtechautomotivo.com.br</x:v>
      </x:c>
      <x:c r="F399" s="23" t="str">
        <x:v>11997471918</x:v>
      </x:c>
      <x:c r="G399" s="28" t="str">
        <x:v>Destinatário</x:v>
      </x:c>
      <x:c r="H399" s="29" t="n">
        <x:v>46226</x:v>
      </x:c>
      <x:c r="I399" s="29" t="n">
        <x:v>46226</x:v>
      </x:c>
      <x:c r="J399" s="30" t="str"/>
      <x:c r="K399" s="30" t="str"/>
      <x:c r="L399" s="30" t="str"/>
      <x:c r="M399" s="30" t="str"/>
    </x:row>
    <x:row r="400">
      <x:c r="A400" s="27" t="n">
        <x:v>33152</x:v>
      </x:c>
      <x:c r="B400" s="23" t="str">
        <x:v>SPDM - ASSOCIACAO PAULISTA PARA O DESENVOLVIMENTO DA MEDICIN</x:v>
      </x:c>
      <x:c r="C400" s="25" t="str">
        <x:f>"61699567001598"</x:f>
        <x:v>61699567001598</x:v>
      </x:c>
      <x:c r="D400" s="23" t="str">
        <x:v>SÃO PAULO</x:v>
      </x:c>
      <x:c r="E400" s="23" t="str">
        <x:v>nfe.serv@ceacleste.spdm.org.br</x:v>
      </x:c>
      <x:c r="F400" s="23" t="str">
        <x:v>1139687403</x:v>
      </x:c>
      <x:c r="G400" s="28" t="str">
        <x:v>Destinatário</x:v>
      </x:c>
      <x:c r="H400" s="29" t="n">
        <x:v>46226</x:v>
      </x:c>
      <x:c r="I400" s="29" t="n">
        <x:v>46226</x:v>
      </x:c>
      <x:c r="J400" s="30" t="str">
        <x:v>GASPAR DE JESUS</x:v>
      </x:c>
      <x:c r="K400" s="30" t="str">
        <x:v>ADMINISTRATIVO - NEGOCIA FRETE</x:v>
      </x:c>
      <x:c r="L400" s="30" t="str">
        <x:v>nfe.serv@ceacleste.spdm.org.br</x:v>
      </x:c>
      <x:c r="M400" s="30" t="str">
        <x:v>1139687403</x:v>
      </x:c>
    </x:row>
    <x:row r="401">
      <x:c r="A401" s="27" t="n">
        <x:v>33154</x:v>
      </x:c>
      <x:c r="B401" s="23" t="str">
        <x:v>HELAIS COMERCIAL LTDA</x:v>
      </x:c>
      <x:c r="C401" s="25" t="str">
        <x:f>"60887748000180"</x:f>
        <x:v>60887748000180</x:v>
      </x:c>
      <x:c r="D401" s="23" t="str">
        <x:v>RIBEIRÃO PRETO</x:v>
      </x:c>
      <x:c r="E401" s="23" t="str">
        <x:v>HELAISCOM@GMAIL.COM</x:v>
      </x:c>
      <x:c r="F401" s="23" t="str">
        <x:v>1636266164</x:v>
      </x:c>
      <x:c r="G401" s="28" t="str">
        <x:v>Destinatário</x:v>
      </x:c>
      <x:c r="H401" s="29" t="n">
        <x:v>46226</x:v>
      </x:c>
      <x:c r="I401" s="29" t="n">
        <x:v>46226</x:v>
      </x:c>
      <x:c r="J401" s="30" t="str"/>
      <x:c r="K401" s="30" t="str"/>
      <x:c r="L401" s="30" t="str"/>
      <x:c r="M401" s="30" t="str"/>
    </x:row>
    <x:row r="402">
      <x:c r="A402" s="27" t="n">
        <x:v>33155</x:v>
      </x:c>
      <x:c r="B402" s="23" t="str">
        <x:v>ART-SOL MOVEIS DE ACO LTDA</x:v>
      </x:c>
      <x:c r="C402" s="25" t="str">
        <x:f>"04258719000188"</x:f>
        <x:v>04258719000188</x:v>
      </x:c>
      <x:c r="D402" s="23" t="str">
        <x:v>MIRASSOL</x:v>
      </x:c>
      <x:c r="E402" s="23" t="str">
        <x:v>ARTSOL@GMAIL.COM</x:v>
      </x:c>
      <x:c r="F402" s="23" t="str"/>
      <x:c r="G402" s="28" t="str">
        <x:v>Destinatário</x:v>
      </x:c>
      <x:c r="H402" s="29" t="n">
        <x:v>46226</x:v>
      </x:c>
      <x:c r="I402" s="29" t="n">
        <x:v>46226</x:v>
      </x:c>
      <x:c r="J402" s="30" t="str"/>
      <x:c r="K402" s="30" t="str"/>
      <x:c r="L402" s="30" t="str"/>
      <x:c r="M402" s="30" t="str"/>
    </x:row>
    <x:row r="403">
      <x:c r="A403" s="27" t="n">
        <x:v>33156</x:v>
      </x:c>
      <x:c r="B403" s="23" t="str">
        <x:v>CEZARETTE FITNESS LTDA</x:v>
      </x:c>
      <x:c r="C403" s="25" t="str">
        <x:f>"23090870000102"</x:f>
        <x:v>23090870000102</x:v>
      </x:c>
      <x:c r="D403" s="23" t="str">
        <x:v>MIRASSOL</x:v>
      </x:c>
      <x:c r="E403" s="23" t="str">
        <x:v>CEZARETTE@GMAIL.COM</x:v>
      </x:c>
      <x:c r="F403" s="23" t="str">
        <x:v>1732171788</x:v>
      </x:c>
      <x:c r="G403" s="28" t="str">
        <x:v>Destinatário</x:v>
      </x:c>
      <x:c r="H403" s="29" t="n">
        <x:v>46226</x:v>
      </x:c>
      <x:c r="I403" s="29" t="n">
        <x:v>46226</x:v>
      </x:c>
      <x:c r="J403" s="30" t="str"/>
      <x:c r="K403" s="30" t="str"/>
      <x:c r="L403" s="30" t="str"/>
      <x:c r="M403" s="30" t="str"/>
    </x:row>
    <x:row r="404">
      <x:c r="A404" s="27" t="n">
        <x:v>33157</x:v>
      </x:c>
      <x:c r="B404" s="23" t="str">
        <x:v>SOARES PINTURA ELETROSTATICA LTDA</x:v>
      </x:c>
      <x:c r="C404" s="25" t="str">
        <x:f>"27993241000135"</x:f>
        <x:v>27993241000135</x:v>
      </x:c>
      <x:c r="D404" s="23" t="str">
        <x:v>SÃO JOSÉ DO RIO PRETO</x:v>
      </x:c>
      <x:c r="E404" s="23" t="str">
        <x:v>SOARESPINTURAS@GMAIL.COM</x:v>
      </x:c>
      <x:c r="F404" s="23" t="str"/>
      <x:c r="G404" s="28" t="str">
        <x:v>Destinatário</x:v>
      </x:c>
      <x:c r="H404" s="29" t="n">
        <x:v>46226</x:v>
      </x:c>
      <x:c r="I404" s="29" t="n">
        <x:v>46226</x:v>
      </x:c>
      <x:c r="J404" s="30" t="str"/>
      <x:c r="K404" s="30" t="str"/>
      <x:c r="L404" s="30" t="str"/>
      <x:c r="M404" s="30" t="str"/>
    </x:row>
    <x:row r="405">
      <x:c r="A405" s="27" t="n">
        <x:v>33158</x:v>
      </x:c>
      <x:c r="B405" s="23" t="str">
        <x:v>TIAGO HENRIQUE DOS PRAZERES</x:v>
      </x:c>
      <x:c r="C405" s="25" t="str">
        <x:f>"58583842000101"</x:f>
        <x:v>58583842000101</x:v>
      </x:c>
      <x:c r="D405" s="23" t="str">
        <x:v>MONTE ALTO</x:v>
      </x:c>
      <x:c r="E405" s="23" t="str">
        <x:v>TIAGO.HENRIQUE@HOTMAIL.COM</x:v>
      </x:c>
      <x:c r="F405" s="23" t="str">
        <x:v>1696033597</x:v>
      </x:c>
      <x:c r="G405" s="28" t="str">
        <x:v>Destinatário</x:v>
      </x:c>
      <x:c r="H405" s="29" t="n">
        <x:v>46226</x:v>
      </x:c>
      <x:c r="I405" s="29" t="n">
        <x:v>46226</x:v>
      </x:c>
      <x:c r="J405" s="30" t="str"/>
      <x:c r="K405" s="30" t="str"/>
      <x:c r="L405" s="30" t="str"/>
      <x:c r="M405" s="30" t="str"/>
    </x:row>
    <x:row r="406">
      <x:c r="A406" s="27" t="n">
        <x:v>33159</x:v>
      </x:c>
      <x:c r="B406" s="23" t="str">
        <x:v>LONGITUDE JAGUARIUNA CVA 1 EMPREE IMO SPE S.A</x:v>
      </x:c>
      <x:c r="C406" s="25" t="str">
        <x:f>"48807613000161"</x:f>
        <x:v>48807613000161</x:v>
      </x:c>
      <x:c r="D406" s="23" t="str">
        <x:v>INDAIATUBA</x:v>
      </x:c>
      <x:c r="E406" s="23" t="str">
        <x:v>LOGITUDEJAGUA@GMAIL.COM</x:v>
      </x:c>
      <x:c r="F406" s="23" t="str">
        <x:v>19991963120</x:v>
      </x:c>
      <x:c r="G406" s="28" t="str">
        <x:v>Destinatário</x:v>
      </x:c>
      <x:c r="H406" s="29" t="n">
        <x:v>46227</x:v>
      </x:c>
      <x:c r="I406" s="29" t="n">
        <x:v>46227</x:v>
      </x:c>
      <x:c r="J406" s="30" t="str"/>
      <x:c r="K406" s="30" t="str"/>
      <x:c r="L406" s="30" t="str"/>
      <x:c r="M406" s="30" t="str"/>
    </x:row>
    <x:row r="407">
      <x:c r="A407" s="27" t="n">
        <x:v>33160</x:v>
      </x:c>
      <x:c r="B407" s="23" t="str">
        <x:v>SERVICO AUTONOMO DE AGUA E ESGOTO DE PEDREIRA</x:v>
      </x:c>
      <x:c r="C407" s="25" t="str">
        <x:f>"09579148000105"</x:f>
        <x:v>09579148000105</x:v>
      </x:c>
      <x:c r="D407" s="23" t="str">
        <x:v>PEDREIRA</x:v>
      </x:c>
      <x:c r="E407" s="23" t="str"/>
      <x:c r="F407" s="23" t="str"/>
      <x:c r="G407" s="28" t="str">
        <x:v>Destinatário</x:v>
      </x:c>
      <x:c r="H407" s="29" t="n">
        <x:v>46230</x:v>
      </x:c>
      <x:c r="I407" s="29" t="n">
        <x:v>46230</x:v>
      </x:c>
      <x:c r="J407" s="30" t="str"/>
      <x:c r="K407" s="30" t="str"/>
      <x:c r="L407" s="30" t="str"/>
      <x:c r="M407" s="30" t="str"/>
    </x:row>
    <x:row r="408">
      <x:c r="A408" s="27" t="n">
        <x:v>33164</x:v>
      </x:c>
      <x:c r="B408" s="23" t="str">
        <x:v>LEALTECNICA INDUSTRIA, COMERCIO E SERVICOS LTDA</x:v>
      </x:c>
      <x:c r="C408" s="25" t="str">
        <x:f>"08275803000160"</x:f>
        <x:v>08275803000160</x:v>
      </x:c>
      <x:c r="D408" s="23" t="str">
        <x:v>SÃO BERNARDO DO CAMPO</x:v>
      </x:c>
      <x:c r="E408" s="23" t="str"/>
      <x:c r="F408" s="23" t="str"/>
      <x:c r="G408" s="28" t="str">
        <x:v>Destinatário</x:v>
      </x:c>
      <x:c r="H408" s="29" t="n">
        <x:v>46230</x:v>
      </x:c>
      <x:c r="I408" s="29" t="n">
        <x:v>46230</x:v>
      </x:c>
      <x:c r="J408" s="30" t="str"/>
      <x:c r="K408" s="30" t="str"/>
      <x:c r="L408" s="30" t="str"/>
      <x:c r="M408" s="30" t="str"/>
    </x:row>
    <x:row r="409">
      <x:c r="A409" s="27" t="n">
        <x:v>33167</x:v>
      </x:c>
      <x:c r="B409" s="23" t="str">
        <x:v>INTER SPE SJRP 7 INCORPORACAO LTDA</x:v>
      </x:c>
      <x:c r="C409" s="25" t="str">
        <x:f>"35785027000111"</x:f>
        <x:v>35785027000111</x:v>
      </x:c>
      <x:c r="D409" s="23" t="str">
        <x:v>SÃO JOSÉ DO RIO PRETO</x:v>
      </x:c>
      <x:c r="E409" s="23" t="str">
        <x:v>INTERSPE@GMAIL.COM</x:v>
      </x:c>
      <x:c r="F409" s="23" t="str">
        <x:v>11917160973</x:v>
      </x:c>
      <x:c r="G409" s="28" t="str">
        <x:v>Destinatário</x:v>
      </x:c>
      <x:c r="H409" s="29" t="n">
        <x:v>46230</x:v>
      </x:c>
      <x:c r="I409" s="29" t="n">
        <x:v>46230</x:v>
      </x:c>
      <x:c r="J409" s="30" t="str"/>
      <x:c r="K409" s="30" t="str"/>
      <x:c r="L409" s="30" t="str"/>
      <x:c r="M409" s="30" t="str"/>
    </x:row>
    <x:row r="410">
      <x:c r="A410" s="27" t="n">
        <x:v>33169</x:v>
      </x:c>
      <x:c r="B410" s="23" t="str">
        <x:v>NOVA MINAS COMERCIO DE TINTAS LTDA</x:v>
      </x:c>
      <x:c r="C410" s="25" t="str">
        <x:f>"65464319000113"</x:f>
        <x:v>65464319000113</x:v>
      </x:c>
      <x:c r="D410" s="23" t="str">
        <x:v>RIO CLARO</x:v>
      </x:c>
      <x:c r="E410" s="23" t="str">
        <x:v>adm@minastintas.com.br</x:v>
      </x:c>
      <x:c r="F410" s="23" t="str">
        <x:v>1935231133</x:v>
      </x:c>
      <x:c r="G410" s="28" t="str">
        <x:v>Destinatário</x:v>
      </x:c>
      <x:c r="H410" s="29" t="n">
        <x:v>46230</x:v>
      </x:c>
      <x:c r="I410" s="29" t="n">
        <x:v>46230</x:v>
      </x:c>
      <x:c r="J410" s="30" t="str">
        <x:v>CARLOS VITOR</x:v>
      </x:c>
      <x:c r="K410" s="30" t="str">
        <x:v>ADMINISTRATIVO - NEGOCIA FRETE</x:v>
      </x:c>
      <x:c r="L410" s="30" t="str">
        <x:v>adm@minastintas.com.br</x:v>
      </x:c>
      <x:c r="M410" s="30" t="str">
        <x:v>1935231133</x:v>
      </x:c>
    </x:row>
    <x:row r="411">
      <x:c r="A411" s="27" t="n">
        <x:v>33170</x:v>
      </x:c>
      <x:c r="B411" s="23" t="str">
        <x:v>CONDOMINIO TORINO SPE LTDA</x:v>
      </x:c>
      <x:c r="C411" s="25" t="str">
        <x:f>"29557495000136"</x:f>
        <x:v>29557495000136</x:v>
      </x:c>
      <x:c r="D411" s="23" t="str">
        <x:v>RIBEIRÃO PRETO</x:v>
      </x:c>
      <x:c r="E411" s="23" t="str">
        <x:v>CONDTORINO@GMAIL.COM</x:v>
      </x:c>
      <x:c r="F411" s="23" t="str">
        <x:v>16992992414</x:v>
      </x:c>
      <x:c r="G411" s="28" t="str">
        <x:v>Destinatário</x:v>
      </x:c>
      <x:c r="H411" s="29" t="n">
        <x:v>46231</x:v>
      </x:c>
      <x:c r="I411" s="29" t="n">
        <x:v>46231</x:v>
      </x:c>
      <x:c r="J411" s="30" t="str"/>
      <x:c r="K411" s="30" t="str"/>
      <x:c r="L411" s="30" t="str"/>
      <x:c r="M411" s="30" t="str"/>
    </x:row>
    <x:row r="412">
      <x:c r="A412" s="27" t="n">
        <x:v>33171</x:v>
      </x:c>
      <x:c r="B412" s="23" t="str">
        <x:v>O. L. DALMONTE LTDA</x:v>
      </x:c>
      <x:c r="C412" s="25" t="str">
        <x:f>"04033097000190"</x:f>
        <x:v>04033097000190</x:v>
      </x:c>
      <x:c r="D412" s="23" t="str">
        <x:v>PIRASSUNUNGA</x:v>
      </x:c>
      <x:c r="E412" s="23" t="str">
        <x:v>OLDALMONTE@GMAIL.COM</x:v>
      </x:c>
      <x:c r="F412" s="23" t="str">
        <x:v>1935613842</x:v>
      </x:c>
      <x:c r="G412" s="28" t="str">
        <x:v>Destinatário</x:v>
      </x:c>
      <x:c r="H412" s="29" t="n">
        <x:v>46231</x:v>
      </x:c>
      <x:c r="I412" s="29" t="n">
        <x:v>46231</x:v>
      </x:c>
      <x:c r="J412" s="30" t="str"/>
      <x:c r="K412" s="30" t="str"/>
      <x:c r="L412" s="30" t="str"/>
      <x:c r="M412" s="30" t="str"/>
    </x:row>
    <x:row r="413">
      <x:c r="A413" s="27" t="n">
        <x:v>33176</x:v>
      </x:c>
      <x:c r="B413" s="23" t="str">
        <x:v>VF COLORADO LTDA</x:v>
      </x:c>
      <x:c r="C413" s="25" t="str">
        <x:f>"53700366000130"</x:f>
        <x:v>53700366000130</x:v>
      </x:c>
      <x:c r="D413" s="23" t="str">
        <x:v>ARAÇATUBA</x:v>
      </x:c>
      <x:c r="E413" s="23" t="str"/>
      <x:c r="F413" s="23" t="str"/>
      <x:c r="G413" s="28" t="str">
        <x:v>Destinatário</x:v>
      </x:c>
      <x:c r="H413" s="29" t="n">
        <x:v>46232</x:v>
      </x:c>
      <x:c r="I413" s="29" t="n">
        <x:v>46232</x:v>
      </x:c>
      <x:c r="J413" s="30" t="str"/>
      <x:c r="K413" s="30" t="str"/>
      <x:c r="L413" s="30" t="str"/>
      <x:c r="M413" s="30" t="str"/>
    </x:row>
    <x:row r="414">
      <x:c r="A414" s="27" t="n">
        <x:v>33177</x:v>
      </x:c>
      <x:c r="B414" s="23" t="str">
        <x:v>66.657.020 BRUNO LUIS SENHUK</x:v>
      </x:c>
      <x:c r="C414" s="25" t="str">
        <x:f>"66657020000148"</x:f>
        <x:v>66657020000148</x:v>
      </x:c>
      <x:c r="D414" s="23" t="str">
        <x:v>SÃO JOAQUIM DA BARRA</x:v>
      </x:c>
      <x:c r="E414" s="23" t="str">
        <x:v>BRUNOLUIS@GMAIL.COM</x:v>
      </x:c>
      <x:c r="F414" s="23" t="str">
        <x:v>16994583149</x:v>
      </x:c>
      <x:c r="G414" s="28" t="str">
        <x:v>Destinatário</x:v>
      </x:c>
      <x:c r="H414" s="29" t="n">
        <x:v>46232</x:v>
      </x:c>
      <x:c r="I414" s="29" t="n">
        <x:v>46232</x:v>
      </x:c>
      <x:c r="J414" s="30" t="str"/>
      <x:c r="K414" s="30" t="str"/>
      <x:c r="L414" s="30" t="str"/>
      <x:c r="M414" s="30" t="str"/>
    </x:row>
    <x:row r="415">
      <x:c r="A415" s="27" t="n">
        <x:v>33180</x:v>
      </x:c>
      <x:c r="B415" s="23" t="str">
        <x:v>M R DE OLIVEIRA COMERCIO E TRANSPORTE</x:v>
      </x:c>
      <x:c r="C415" s="25" t="str">
        <x:f>"15584611000100"</x:f>
        <x:v>15584611000100</x:v>
      </x:c>
      <x:c r="D415" s="23" t="str">
        <x:v>CASTILHO</x:v>
      </x:c>
      <x:c r="E415" s="23" t="str">
        <x:v>esccast@uol.com.br</x:v>
      </x:c>
      <x:c r="F415" s="23" t="str">
        <x:v>1837412085</x:v>
      </x:c>
      <x:c r="G415" s="28" t="str">
        <x:v>Destinatário</x:v>
      </x:c>
      <x:c r="H415" s="29" t="n">
        <x:v>46232</x:v>
      </x:c>
      <x:c r="I415" s="29" t="n">
        <x:v>46232</x:v>
      </x:c>
      <x:c r="J415" s="30" t="str">
        <x:v>CONTATO</x:v>
      </x:c>
      <x:c r="K415" s="30" t="str">
        <x:v>ADMINISTRATIVO - NEGOCIA FRETE</x:v>
      </x:c>
      <x:c r="L415" s="30" t="str">
        <x:v>esccast@uol.com.br</x:v>
      </x:c>
      <x:c r="M415" s="30" t="str">
        <x:v>1837412085</x:v>
      </x:c>
    </x:row>
    <x:row r="416">
      <x:c r="A416" s="27" t="n">
        <x:v>33185</x:v>
      </x:c>
      <x:c r="B416" s="23" t="str">
        <x:v>LALESKA CENTRO DE BELEZA LTDA</x:v>
      </x:c>
      <x:c r="C416" s="25" t="str">
        <x:f>"59333181000110"</x:f>
        <x:v>59333181000110</x:v>
      </x:c>
      <x:c r="D416" s="23" t="str">
        <x:v>CAMPINAS</x:v>
      </x:c>
      <x:c r="E416" s="23" t="str">
        <x:v>LALESKA@GMAIL.COM</x:v>
      </x:c>
      <x:c r="F416" s="23" t="str">
        <x:v>19996811394</x:v>
      </x:c>
      <x:c r="G416" s="28" t="str">
        <x:v>Destinatário</x:v>
      </x:c>
      <x:c r="H416" s="29" t="n">
        <x:v>46233</x:v>
      </x:c>
      <x:c r="I416" s="29" t="n">
        <x:v>46233</x:v>
      </x:c>
      <x:c r="J416" s="30" t="str"/>
      <x:c r="K416" s="30" t="str"/>
      <x:c r="L416" s="30" t="str"/>
      <x:c r="M416" s="30" t="str"/>
    </x:row>
    <x:row r="418" ht="36" customHeight="1">
      <x:c r="A418" s="33" t="str">
        <x:v>Regra: registros são clientes PJ de SP com ID a partir de 32001, destinatários em CT-e não cancelado sem pagamento FOB pelo destinatário; CNPJ e razão social duplicados foram removidos. Contatos inválidos definidos na regra foram descartados. Não houve enriquecimento externo.</x:v>
      </x:c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</x:row>
  </x:sheetData>
  <x:mergeCells>
    <x:mergeCell ref="A1:M1"/>
    <x:mergeCell ref="A2:M2"/>
    <x:mergeCell ref="A418:M418"/>
  </x:mergeCells>
  <x:pageMargins left="0.7" right="0.7" top="0.75" bottom="0.75" header="0.3" footer="0.3"/>
  <x:tableParts count="1">
    <x:tablePart xmlns:r="http://schemas.openxmlformats.org/officeDocument/2006/relationships" r:id="R32cd98b6f7bc43f8"/>
  </x:tableParts>
</x:worksheet>
</file>